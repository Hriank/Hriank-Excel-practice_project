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Cleaning Log" sheetId="3" state="visible" r:id="rId5"/>
    <sheet name="Cleaned Data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<sst xmlns="http://schemas.openxmlformats.org/spreadsheetml/2006/main" count="11774" uniqueCount="2349">
  <si>
    <t xml:space="preserve">Retail Sales Dashboard</t>
  </si>
  <si>
    <t xml:space="preserve">Total Sales</t>
  </si>
  <si>
    <t xml:space="preserve">Total Profit</t>
  </si>
  <si>
    <t xml:space="preserve">Total Orders</t>
  </si>
  <si>
    <t xml:space="preserve">Avg Order Value</t>
  </si>
  <si>
    <t xml:space="preserve">Order ID</t>
  </si>
  <si>
    <t xml:space="preserve">Order Date</t>
  </si>
  <si>
    <t xml:space="preserve">Ship Date</t>
  </si>
  <si>
    <t xml:space="preserve">Customer Name</t>
  </si>
  <si>
    <t xml:space="preserve">Segment</t>
  </si>
  <si>
    <t xml:space="preserve">Region</t>
  </si>
  <si>
    <t xml:space="preserve">City</t>
  </si>
  <si>
    <t xml:space="preserve">Category</t>
  </si>
  <si>
    <t xml:space="preserve">Sub-Category</t>
  </si>
  <si>
    <t xml:space="preserve">Ship Mode</t>
  </si>
  <si>
    <t xml:space="preserve">Quantity</t>
  </si>
  <si>
    <t xml:space="preserve">Unit Price</t>
  </si>
  <si>
    <t xml:space="preserve">Discount</t>
  </si>
  <si>
    <t xml:space="preserve">Sales</t>
  </si>
  <si>
    <t xml:space="preserve">Profit</t>
  </si>
  <si>
    <t xml:space="preserve">ORD-100109</t>
  </si>
  <si>
    <t xml:space="preserve">24/09/2024</t>
  </si>
  <si>
    <t xml:space="preserve">26/09/2024</t>
  </si>
  <si>
    <t xml:space="preserve">Yuki Ali</t>
  </si>
  <si>
    <t xml:space="preserve">Corporate</t>
  </si>
  <si>
    <t xml:space="preserve">West </t>
  </si>
  <si>
    <t xml:space="preserve">Pune</t>
  </si>
  <si>
    <t xml:space="preserve">Home &amp; Kitchen </t>
  </si>
  <si>
    <t xml:space="preserve">Blender</t>
  </si>
  <si>
    <t xml:space="preserve">Second Class</t>
  </si>
  <si>
    <t xml:space="preserve">ORD-100329</t>
  </si>
  <si>
    <t xml:space="preserve">26/11/2023</t>
  </si>
  <si>
    <t xml:space="preserve">29/11/2023</t>
  </si>
  <si>
    <t xml:space="preserve">  Grace Brown  </t>
  </si>
  <si>
    <t xml:space="preserve">Consumer</t>
  </si>
  <si>
    <t xml:space="preserve">EAST</t>
  </si>
  <si>
    <t xml:space="preserve">Patna</t>
  </si>
  <si>
    <t xml:space="preserve">Office Supplies</t>
  </si>
  <si>
    <t xml:space="preserve">Printer Paper</t>
  </si>
  <si>
    <t xml:space="preserve">Standard Class</t>
  </si>
  <si>
    <t xml:space="preserve">ORD-100057</t>
  </si>
  <si>
    <t xml:space="preserve">2023-04-16</t>
  </si>
  <si>
    <t xml:space="preserve">2023-04-23</t>
  </si>
  <si>
    <t xml:space="preserve">Noah Chen</t>
  </si>
  <si>
    <t xml:space="preserve">east</t>
  </si>
  <si>
    <t xml:space="preserve">Home &amp; Kitchen</t>
  </si>
  <si>
    <t xml:space="preserve">Toaster</t>
  </si>
  <si>
    <t xml:space="preserve">First Class</t>
  </si>
  <si>
    <t xml:space="preserve">ORD-100134</t>
  </si>
  <si>
    <t xml:space="preserve">2023-01-01</t>
  </si>
  <si>
    <t xml:space="preserve">2023-01-04</t>
  </si>
  <si>
    <t xml:space="preserve">Raj Garcia</t>
  </si>
  <si>
    <t xml:space="preserve">Home Office</t>
  </si>
  <si>
    <t xml:space="preserve">NORTH</t>
  </si>
  <si>
    <t xml:space="preserve">Delhi</t>
  </si>
  <si>
    <t xml:space="preserve">Electronics </t>
  </si>
  <si>
    <t xml:space="preserve">Smartphone</t>
  </si>
  <si>
    <t xml:space="preserve">ORD-100115</t>
  </si>
  <si>
    <t xml:space="preserve">08/05/2023</t>
  </si>
  <si>
    <t xml:space="preserve">08/09/2023</t>
  </si>
  <si>
    <t xml:space="preserve">Anaya Ali</t>
  </si>
  <si>
    <t xml:space="preserve">East</t>
  </si>
  <si>
    <t xml:space="preserve">Bhubaneswar</t>
  </si>
  <si>
    <t xml:space="preserve">Smartwatch</t>
  </si>
  <si>
    <t xml:space="preserve">Same Day</t>
  </si>
  <si>
    <t xml:space="preserve">ORD-100549</t>
  </si>
  <si>
    <t xml:space="preserve">10/07/2024</t>
  </si>
  <si>
    <t xml:space="preserve">10/10/2024</t>
  </si>
  <si>
    <t xml:space="preserve">Ivan Petrov</t>
  </si>
  <si>
    <t xml:space="preserve">WEST</t>
  </si>
  <si>
    <t xml:space="preserve">clothing</t>
  </si>
  <si>
    <t xml:space="preserve">T-Shirt</t>
  </si>
  <si>
    <t xml:space="preserve">ORD-100542</t>
  </si>
  <si>
    <t xml:space="preserve">2023-12-17</t>
  </si>
  <si>
    <t xml:space="preserve">2023-12-24</t>
  </si>
  <si>
    <t xml:space="preserve">wei wang</t>
  </si>
  <si>
    <t xml:space="preserve">Kolkata</t>
  </si>
  <si>
    <t xml:space="preserve">Clothing</t>
  </si>
  <si>
    <t xml:space="preserve">Cap</t>
  </si>
  <si>
    <t xml:space="preserve">ORD-100343</t>
  </si>
  <si>
    <t xml:space="preserve">20-08-2024</t>
  </si>
  <si>
    <t xml:space="preserve">26-08-2024</t>
  </si>
  <si>
    <t xml:space="preserve">Mumbai</t>
  </si>
  <si>
    <t xml:space="preserve">OFFICE SUPPLIES</t>
  </si>
  <si>
    <t xml:space="preserve">Binder</t>
  </si>
  <si>
    <t xml:space="preserve">ORD-100277</t>
  </si>
  <si>
    <t xml:space="preserve">06-11-2024</t>
  </si>
  <si>
    <t xml:space="preserve">11-11-2024</t>
  </si>
  <si>
    <t xml:space="preserve">amara khan</t>
  </si>
  <si>
    <t xml:space="preserve">Ahmedabad</t>
  </si>
  <si>
    <t xml:space="preserve">ORD-100232</t>
  </si>
  <si>
    <t xml:space="preserve">09-05-2024</t>
  </si>
  <si>
    <t xml:space="preserve">14-05-2024</t>
  </si>
  <si>
    <t xml:space="preserve">Noah Okafor</t>
  </si>
  <si>
    <t xml:space="preserve">Nort </t>
  </si>
  <si>
    <t xml:space="preserve">Furniture </t>
  </si>
  <si>
    <t xml:space="preserve">Office Chair</t>
  </si>
  <si>
    <t xml:space="preserve">ORD-100563</t>
  </si>
  <si>
    <t xml:space="preserve">2023-11-24</t>
  </si>
  <si>
    <t xml:space="preserve">2023-11-25</t>
  </si>
  <si>
    <t xml:space="preserve">Amara Patel</t>
  </si>
  <si>
    <t xml:space="preserve"> South</t>
  </si>
  <si>
    <t xml:space="preserve">Bengaluru</t>
  </si>
  <si>
    <t xml:space="preserve">electronics</t>
  </si>
  <si>
    <t xml:space="preserve">Tablet</t>
  </si>
  <si>
    <t xml:space="preserve">ORD-100490</t>
  </si>
  <si>
    <t xml:space="preserve">04/04/2023</t>
  </si>
  <si>
    <t xml:space="preserve">04/11/2023</t>
  </si>
  <si>
    <t xml:space="preserve">carlos johnson</t>
  </si>
  <si>
    <t xml:space="preserve">Bookshelf</t>
  </si>
  <si>
    <t xml:space="preserve">ORD-100281</t>
  </si>
  <si>
    <t xml:space="preserve">May 06, 2023</t>
  </si>
  <si>
    <t xml:space="preserve">May 08, 2023</t>
  </si>
  <si>
    <t xml:space="preserve">Hassan Okafor</t>
  </si>
  <si>
    <t xml:space="preserve">Furniture</t>
  </si>
  <si>
    <t xml:space="preserve">Desk</t>
  </si>
  <si>
    <t xml:space="preserve">ORD-100023</t>
  </si>
  <si>
    <t xml:space="preserve">2024-07-31</t>
  </si>
  <si>
    <t xml:space="preserve">2024-08-06</t>
  </si>
  <si>
    <t xml:space="preserve">Chennai</t>
  </si>
  <si>
    <t xml:space="preserve">CLOTHING</t>
  </si>
  <si>
    <t xml:space="preserve">Jeans</t>
  </si>
  <si>
    <t xml:space="preserve">ORD-100419</t>
  </si>
  <si>
    <t xml:space="preserve">Jun 19, 2024</t>
  </si>
  <si>
    <t xml:space="preserve">Jun 26, 2024</t>
  </si>
  <si>
    <t xml:space="preserve">Ivan Johnson</t>
  </si>
  <si>
    <t xml:space="preserve">West</t>
  </si>
  <si>
    <t xml:space="preserve">Jacket</t>
  </si>
  <si>
    <t xml:space="preserve">ORD-100452</t>
  </si>
  <si>
    <t xml:space="preserve">04/19/2023</t>
  </si>
  <si>
    <t xml:space="preserve">04/23/2023</t>
  </si>
  <si>
    <t xml:space="preserve">Amara Brown</t>
  </si>
  <si>
    <t xml:space="preserve">Electronics</t>
  </si>
  <si>
    <t xml:space="preserve">Headphones</t>
  </si>
  <si>
    <t xml:space="preserve">ORD-100110</t>
  </si>
  <si>
    <t xml:space="preserve">11/07/2023</t>
  </si>
  <si>
    <t xml:space="preserve">14/07/2023</t>
  </si>
  <si>
    <t xml:space="preserve">Grace Sharma</t>
  </si>
  <si>
    <t xml:space="preserve">Cookware Set</t>
  </si>
  <si>
    <t xml:space="preserve">ORD-100229</t>
  </si>
  <si>
    <t xml:space="preserve">2023-11-28</t>
  </si>
  <si>
    <t xml:space="preserve">2023-12-05</t>
  </si>
  <si>
    <t xml:space="preserve">Office Supplies </t>
  </si>
  <si>
    <t xml:space="preserve">Notebook</t>
  </si>
  <si>
    <t xml:space="preserve">ORD-100352</t>
  </si>
  <si>
    <t xml:space="preserve">01-08-2023</t>
  </si>
  <si>
    <t xml:space="preserve">06-08-2023</t>
  </si>
  <si>
    <t xml:space="preserve">North</t>
  </si>
  <si>
    <t xml:space="preserve">HOME &amp; KITCHEN</t>
  </si>
  <si>
    <t xml:space="preserve">Vacuum Cleaner</t>
  </si>
  <si>
    <t xml:space="preserve">ORD-100568</t>
  </si>
  <si>
    <t xml:space="preserve">24/02/2024</t>
  </si>
  <si>
    <t xml:space="preserve">29/02/2024</t>
  </si>
  <si>
    <t xml:space="preserve">Grace Johnson</t>
  </si>
  <si>
    <t xml:space="preserve">South</t>
  </si>
  <si>
    <t xml:space="preserve">home &amp; kitchen</t>
  </si>
  <si>
    <t xml:space="preserve">ORD-100610</t>
  </si>
  <si>
    <t xml:space="preserve">05/21/2023</t>
  </si>
  <si>
    <t xml:space="preserve">05/24/2023</t>
  </si>
  <si>
    <t xml:space="preserve">Tom Okafor</t>
  </si>
  <si>
    <t xml:space="preserve">Air Fryer</t>
  </si>
  <si>
    <t xml:space="preserve">ORD-100235</t>
  </si>
  <si>
    <t xml:space="preserve">30-06-2024</t>
  </si>
  <si>
    <t xml:space="preserve">01-07-2024</t>
  </si>
  <si>
    <t xml:space="preserve">Maria Tanaka</t>
  </si>
  <si>
    <t xml:space="preserve">ORD-100202</t>
  </si>
  <si>
    <t xml:space="preserve">2023-04-07</t>
  </si>
  <si>
    <t xml:space="preserve">2023-04-12</t>
  </si>
  <si>
    <t xml:space="preserve">Raj Okafor</t>
  </si>
  <si>
    <t xml:space="preserve">ORD-100386</t>
  </si>
  <si>
    <t xml:space="preserve">2023-05-17</t>
  </si>
  <si>
    <t xml:space="preserve">2023-05-22</t>
  </si>
  <si>
    <t xml:space="preserve">Priya Petrov</t>
  </si>
  <si>
    <t xml:space="preserve">SOUTH</t>
  </si>
  <si>
    <t xml:space="preserve">ORD-100551</t>
  </si>
  <si>
    <t xml:space="preserve">02-06-2024</t>
  </si>
  <si>
    <t xml:space="preserve">08-06-2024</t>
  </si>
  <si>
    <t xml:space="preserve">Aisha Novak</t>
  </si>
  <si>
    <t xml:space="preserve">ORD-100351</t>
  </si>
  <si>
    <t xml:space="preserve">07/07/2023</t>
  </si>
  <si>
    <t xml:space="preserve">13/07/2023</t>
  </si>
  <si>
    <t xml:space="preserve">Diego Sharma</t>
  </si>
  <si>
    <t xml:space="preserve">Hyderabad</t>
  </si>
  <si>
    <t xml:space="preserve">ORD-100470</t>
  </si>
  <si>
    <t xml:space="preserve">22-02-2024</t>
  </si>
  <si>
    <t xml:space="preserve">28-02-2024</t>
  </si>
  <si>
    <t xml:space="preserve">Carlos Lee</t>
  </si>
  <si>
    <t xml:space="preserve">ORD-100191</t>
  </si>
  <si>
    <t xml:space="preserve">09-10-2023</t>
  </si>
  <si>
    <t xml:space="preserve">13-10-2023</t>
  </si>
  <si>
    <t xml:space="preserve">Maria Martin</t>
  </si>
  <si>
    <t xml:space="preserve">Clothing </t>
  </si>
  <si>
    <t xml:space="preserve">ORD-100465</t>
  </si>
  <si>
    <t xml:space="preserve">10/11/2023</t>
  </si>
  <si>
    <t xml:space="preserve">10/16/2023</t>
  </si>
  <si>
    <t xml:space="preserve">Wei Tanaka</t>
  </si>
  <si>
    <t xml:space="preserve">ORD-100600</t>
  </si>
  <si>
    <t xml:space="preserve">Oct 27, 2023</t>
  </si>
  <si>
    <t xml:space="preserve">Oct 29, 2023</t>
  </si>
  <si>
    <t xml:space="preserve">Maria Okafor</t>
  </si>
  <si>
    <t xml:space="preserve">west</t>
  </si>
  <si>
    <t xml:space="preserve">Dining Table</t>
  </si>
  <si>
    <t xml:space="preserve">ORD-100589</t>
  </si>
  <si>
    <t xml:space="preserve">17-10-2023</t>
  </si>
  <si>
    <t xml:space="preserve">19-10-2023</t>
  </si>
  <si>
    <t xml:space="preserve">Olga Smith</t>
  </si>
  <si>
    <t xml:space="preserve">office supplies</t>
  </si>
  <si>
    <t xml:space="preserve">ORD-100586</t>
  </si>
  <si>
    <t xml:space="preserve">2024-09-18</t>
  </si>
  <si>
    <t xml:space="preserve">2024-09-19</t>
  </si>
  <si>
    <t xml:space="preserve">Lucas Ali</t>
  </si>
  <si>
    <t xml:space="preserve">ORD-100357</t>
  </si>
  <si>
    <t xml:space="preserve">Dec 11, 2024</t>
  </si>
  <si>
    <t xml:space="preserve">Dec 13, 2024</t>
  </si>
  <si>
    <t xml:space="preserve">Arjun Brown</t>
  </si>
  <si>
    <t xml:space="preserve">Chandigarh</t>
  </si>
  <si>
    <t xml:space="preserve">ORD-100294</t>
  </si>
  <si>
    <t xml:space="preserve">2024-04-27</t>
  </si>
  <si>
    <t xml:space="preserve">2024-05-03</t>
  </si>
  <si>
    <t xml:space="preserve">Anaya Brown</t>
  </si>
  <si>
    <t xml:space="preserve">Laptop</t>
  </si>
  <si>
    <t xml:space="preserve">ORD-100442</t>
  </si>
  <si>
    <t xml:space="preserve">Dec 19, 2024</t>
  </si>
  <si>
    <t xml:space="preserve">Dec 22, 2024</t>
  </si>
  <si>
    <t xml:space="preserve">Fatima Petrov</t>
  </si>
  <si>
    <t xml:space="preserve">ORD-100360</t>
  </si>
  <si>
    <t xml:space="preserve">2023-11-15</t>
  </si>
  <si>
    <t xml:space="preserve">2023-11-17</t>
  </si>
  <si>
    <t xml:space="preserve">Sofia Petrov</t>
  </si>
  <si>
    <t xml:space="preserve">south</t>
  </si>
  <si>
    <t xml:space="preserve">ORD-100401</t>
  </si>
  <si>
    <t xml:space="preserve">30/03/2024</t>
  </si>
  <si>
    <t xml:space="preserve">06/04/2024</t>
  </si>
  <si>
    <t xml:space="preserve">ORD-100417</t>
  </si>
  <si>
    <t xml:space="preserve">03/09/2024</t>
  </si>
  <si>
    <t xml:space="preserve">05/09/2024</t>
  </si>
  <si>
    <t xml:space="preserve">Isabella Said</t>
  </si>
  <si>
    <t xml:space="preserve">ORD-100098</t>
  </si>
  <si>
    <t xml:space="preserve">2024-03-20</t>
  </si>
  <si>
    <t xml:space="preserve">2024-03-26</t>
  </si>
  <si>
    <t xml:space="preserve">Omar Khan</t>
  </si>
  <si>
    <t xml:space="preserve">Bluetooth Speaker</t>
  </si>
  <si>
    <t xml:space="preserve">ORD-100441</t>
  </si>
  <si>
    <t xml:space="preserve">Dec 17, 2024</t>
  </si>
  <si>
    <t xml:space="preserve">Hassan Chen</t>
  </si>
  <si>
    <t xml:space="preserve">FURNITURE</t>
  </si>
  <si>
    <t xml:space="preserve">ORD-100376</t>
  </si>
  <si>
    <t xml:space="preserve">03/07/2023</t>
  </si>
  <si>
    <t xml:space="preserve">04/07/2023</t>
  </si>
  <si>
    <t xml:space="preserve">Lucas Brown</t>
  </si>
  <si>
    <t xml:space="preserve">ORD-100228</t>
  </si>
  <si>
    <t xml:space="preserve">Jan 02, 2023</t>
  </si>
  <si>
    <t xml:space="preserve">Jan 03, 2023</t>
  </si>
  <si>
    <t xml:space="preserve">ORD-100383</t>
  </si>
  <si>
    <t xml:space="preserve">22-11-2023</t>
  </si>
  <si>
    <t xml:space="preserve">29-11-2023</t>
  </si>
  <si>
    <t xml:space="preserve">Mei Novak</t>
  </si>
  <si>
    <t xml:space="preserve">ORD-100384</t>
  </si>
  <si>
    <t xml:space="preserve">03/25/2024</t>
  </si>
  <si>
    <t xml:space="preserve">03/28/2024</t>
  </si>
  <si>
    <t xml:space="preserve">ORD-100280</t>
  </si>
  <si>
    <t xml:space="preserve">13-07-2023</t>
  </si>
  <si>
    <t xml:space="preserve">20-07-2023</t>
  </si>
  <si>
    <t xml:space="preserve">Anaya Okafor</t>
  </si>
  <si>
    <t xml:space="preserve">ORD-100141</t>
  </si>
  <si>
    <t xml:space="preserve">02-05-2024</t>
  </si>
  <si>
    <t xml:space="preserve">05-05-2024</t>
  </si>
  <si>
    <t xml:space="preserve">Zara Sharma</t>
  </si>
  <si>
    <t xml:space="preserve">ORD-100636</t>
  </si>
  <si>
    <t xml:space="preserve">22/05/2023</t>
  </si>
  <si>
    <t xml:space="preserve">23/05/2023</t>
  </si>
  <si>
    <t xml:space="preserve">Tom Kim</t>
  </si>
  <si>
    <t xml:space="preserve">ORD-100259</t>
  </si>
  <si>
    <t xml:space="preserve">2023-05-29</t>
  </si>
  <si>
    <t xml:space="preserve">2023-05-31</t>
  </si>
  <si>
    <t xml:space="preserve">Kenji Johnson</t>
  </si>
  <si>
    <t xml:space="preserve">ORD-100099</t>
  </si>
  <si>
    <t xml:space="preserve">2024-02-12</t>
  </si>
  <si>
    <t xml:space="preserve">2024-02-13</t>
  </si>
  <si>
    <t xml:space="preserve">Omar Rossi</t>
  </si>
  <si>
    <t xml:space="preserve">furniture</t>
  </si>
  <si>
    <t xml:space="preserve">ORD-100520</t>
  </si>
  <si>
    <t xml:space="preserve">Jul 31, 2023</t>
  </si>
  <si>
    <t xml:space="preserve">Aug 02, 2023</t>
  </si>
  <si>
    <t xml:space="preserve">Grace Khan</t>
  </si>
  <si>
    <t xml:space="preserve">ORD-100070</t>
  </si>
  <si>
    <t xml:space="preserve">11/06/2023</t>
  </si>
  <si>
    <t xml:space="preserve">17/06/2023</t>
  </si>
  <si>
    <t xml:space="preserve">Yuki Johnson</t>
  </si>
  <si>
    <t xml:space="preserve">ORD-100155</t>
  </si>
  <si>
    <t xml:space="preserve">07/24/2023</t>
  </si>
  <si>
    <t xml:space="preserve">07/31/2023</t>
  </si>
  <si>
    <t xml:space="preserve">Lucas Patel</t>
  </si>
  <si>
    <t xml:space="preserve">ORD-100603</t>
  </si>
  <si>
    <t xml:space="preserve">2024-10-15</t>
  </si>
  <si>
    <t xml:space="preserve">2024-10-16</t>
  </si>
  <si>
    <t xml:space="preserve">  Raj Smith  </t>
  </si>
  <si>
    <t xml:space="preserve">Sofa</t>
  </si>
  <si>
    <t xml:space="preserve">ORD-100387</t>
  </si>
  <si>
    <t xml:space="preserve">05/14/2024</t>
  </si>
  <si>
    <t xml:space="preserve">05/15/2024</t>
  </si>
  <si>
    <t xml:space="preserve">Grace Tanaka</t>
  </si>
  <si>
    <t xml:space="preserve">ORD-100140</t>
  </si>
  <si>
    <t xml:space="preserve">Jan 14, 2024</t>
  </si>
  <si>
    <t xml:space="preserve">Jan 16, 2024</t>
  </si>
  <si>
    <t xml:space="preserve">Liam Tanaka</t>
  </si>
  <si>
    <t xml:space="preserve">ORD-100013</t>
  </si>
  <si>
    <t xml:space="preserve">02/22/2023</t>
  </si>
  <si>
    <t xml:space="preserve">02/23/2023</t>
  </si>
  <si>
    <t xml:space="preserve">  Anaya Kim  </t>
  </si>
  <si>
    <t xml:space="preserve">ORD-100060</t>
  </si>
  <si>
    <t xml:space="preserve">2024-02-25</t>
  </si>
  <si>
    <t xml:space="preserve">2024-02-28</t>
  </si>
  <si>
    <t xml:space="preserve">Sofia Tanaka</t>
  </si>
  <si>
    <t xml:space="preserve">ORD-100467</t>
  </si>
  <si>
    <t xml:space="preserve">26-01-2023</t>
  </si>
  <si>
    <t xml:space="preserve">29-01-2023</t>
  </si>
  <si>
    <t xml:space="preserve">Mei Brown</t>
  </si>
  <si>
    <t xml:space="preserve">ORD-100392</t>
  </si>
  <si>
    <t xml:space="preserve">2024-06-06</t>
  </si>
  <si>
    <t xml:space="preserve">2024-06-10</t>
  </si>
  <si>
    <t xml:space="preserve">Aisha Khan</t>
  </si>
  <si>
    <t xml:space="preserve">ORD-100221</t>
  </si>
  <si>
    <t xml:space="preserve">18/11/2024</t>
  </si>
  <si>
    <t xml:space="preserve">20/11/2024</t>
  </si>
  <si>
    <t xml:space="preserve">Wei Johnson</t>
  </si>
  <si>
    <t xml:space="preserve">Lucknow</t>
  </si>
  <si>
    <t xml:space="preserve">ORD-100576</t>
  </si>
  <si>
    <t xml:space="preserve">24-04-2023</t>
  </si>
  <si>
    <t xml:space="preserve">01-05-2023</t>
  </si>
  <si>
    <t xml:space="preserve">Raj Brown</t>
  </si>
  <si>
    <t xml:space="preserve">ORD-100153</t>
  </si>
  <si>
    <t xml:space="preserve">18-05-2023</t>
  </si>
  <si>
    <t xml:space="preserve">21-05-2023</t>
  </si>
  <si>
    <t xml:space="preserve">Amara Wang</t>
  </si>
  <si>
    <t xml:space="preserve">ORD-100485</t>
  </si>
  <si>
    <t xml:space="preserve">06/19/2024</t>
  </si>
  <si>
    <t xml:space="preserve">06/25/2024</t>
  </si>
  <si>
    <t xml:space="preserve">  Maria Rossi  </t>
  </si>
  <si>
    <t xml:space="preserve">ORD-100411</t>
  </si>
  <si>
    <t xml:space="preserve">26/08/2023</t>
  </si>
  <si>
    <t xml:space="preserve">28/08/2023</t>
  </si>
  <si>
    <t xml:space="preserve">Arjun Garcia</t>
  </si>
  <si>
    <t xml:space="preserve">ORD-100629</t>
  </si>
  <si>
    <t xml:space="preserve">2024-06-13</t>
  </si>
  <si>
    <t xml:space="preserve">2024-06-18</t>
  </si>
  <si>
    <t xml:space="preserve">Kenji Okafor</t>
  </si>
  <si>
    <t xml:space="preserve">ORD-100624</t>
  </si>
  <si>
    <t xml:space="preserve">2023-11-30</t>
  </si>
  <si>
    <t xml:space="preserve">2023-12-07</t>
  </si>
  <si>
    <t xml:space="preserve">Liam Martin</t>
  </si>
  <si>
    <t xml:space="preserve">ORD-100429</t>
  </si>
  <si>
    <t xml:space="preserve">12/03/2023</t>
  </si>
  <si>
    <t xml:space="preserve">12/05/2023</t>
  </si>
  <si>
    <t xml:space="preserve">Ethan Brown</t>
  </si>
  <si>
    <t xml:space="preserve">ORD-100521</t>
  </si>
  <si>
    <t xml:space="preserve">04/07/2024</t>
  </si>
  <si>
    <t xml:space="preserve">11/07/2024</t>
  </si>
  <si>
    <t xml:space="preserve">Ethan Sharma</t>
  </si>
  <si>
    <t xml:space="preserve">ELECTRONICS</t>
  </si>
  <si>
    <t xml:space="preserve">ORD-100439</t>
  </si>
  <si>
    <t xml:space="preserve">2023-03-20</t>
  </si>
  <si>
    <t xml:space="preserve">2023-03-22</t>
  </si>
  <si>
    <t xml:space="preserve">Tom Smith</t>
  </si>
  <si>
    <t xml:space="preserve">ORD-100445</t>
  </si>
  <si>
    <t xml:space="preserve">2024-08-03</t>
  </si>
  <si>
    <t xml:space="preserve">2024-08-09</t>
  </si>
  <si>
    <t xml:space="preserve">Emma Fernandez</t>
  </si>
  <si>
    <t xml:space="preserve">ORD-100385</t>
  </si>
  <si>
    <t xml:space="preserve">Jan 11, 2023</t>
  </si>
  <si>
    <t xml:space="preserve">Jan 15, 2023</t>
  </si>
  <si>
    <t xml:space="preserve">Ivan Garcia</t>
  </si>
  <si>
    <t xml:space="preserve">north</t>
  </si>
  <si>
    <t xml:space="preserve">ORD-100200</t>
  </si>
  <si>
    <t xml:space="preserve">14/10/2024</t>
  </si>
  <si>
    <t xml:space="preserve">18/10/2024</t>
  </si>
  <si>
    <t xml:space="preserve">Liam Lee</t>
  </si>
  <si>
    <t xml:space="preserve">ORD-100627</t>
  </si>
  <si>
    <t xml:space="preserve">2024-05-13</t>
  </si>
  <si>
    <t xml:space="preserve">2024-05-17</t>
  </si>
  <si>
    <t xml:space="preserve">Kenji Wang</t>
  </si>
  <si>
    <t xml:space="preserve">ORD-100633</t>
  </si>
  <si>
    <t xml:space="preserve">2024-09-30</t>
  </si>
  <si>
    <t xml:space="preserve">2024-10-04</t>
  </si>
  <si>
    <t xml:space="preserve">Isabella Chen</t>
  </si>
  <si>
    <t xml:space="preserve">ORD-100571</t>
  </si>
  <si>
    <t xml:space="preserve">30-07-2023</t>
  </si>
  <si>
    <t xml:space="preserve">Raj Said</t>
  </si>
  <si>
    <t xml:space="preserve">ORD-100159</t>
  </si>
  <si>
    <t xml:space="preserve">30-01-2024</t>
  </si>
  <si>
    <t xml:space="preserve">01-02-2024</t>
  </si>
  <si>
    <t xml:space="preserve">  Nina Lee  </t>
  </si>
  <si>
    <t xml:space="preserve">ORD-100252</t>
  </si>
  <si>
    <t xml:space="preserve">15-07-2023</t>
  </si>
  <si>
    <t xml:space="preserve">18-07-2023</t>
  </si>
  <si>
    <t xml:space="preserve">Zara Khan</t>
  </si>
  <si>
    <t xml:space="preserve">ORD-100637</t>
  </si>
  <si>
    <t xml:space="preserve">2023-09-04</t>
  </si>
  <si>
    <t xml:space="preserve">2023-09-08</t>
  </si>
  <si>
    <t xml:space="preserve">  Carlos Sharma  </t>
  </si>
  <si>
    <t xml:space="preserve">ORD-100496</t>
  </si>
  <si>
    <t xml:space="preserve">12-11-2023</t>
  </si>
  <si>
    <t xml:space="preserve">19-11-2023</t>
  </si>
  <si>
    <t xml:space="preserve">Zara Patel</t>
  </si>
  <si>
    <t xml:space="preserve">Pen Set</t>
  </si>
  <si>
    <t xml:space="preserve">ORD-100053</t>
  </si>
  <si>
    <t xml:space="preserve">2023-01-08</t>
  </si>
  <si>
    <t xml:space="preserve">2023-01-12</t>
  </si>
  <si>
    <t xml:space="preserve">Emma Garcia</t>
  </si>
  <si>
    <t xml:space="preserve">ORD-100646</t>
  </si>
  <si>
    <t xml:space="preserve">23/08/2024</t>
  </si>
  <si>
    <t xml:space="preserve">29/08/2024</t>
  </si>
  <si>
    <t xml:space="preserve">Hassan Rossi</t>
  </si>
  <si>
    <t xml:space="preserve">ORD-100408</t>
  </si>
  <si>
    <t xml:space="preserve">2023-08-05</t>
  </si>
  <si>
    <t xml:space="preserve">2023-08-09</t>
  </si>
  <si>
    <t xml:space="preserve">Sofia Fernandez</t>
  </si>
  <si>
    <t xml:space="preserve">ORD-100605</t>
  </si>
  <si>
    <t xml:space="preserve">05-04-2023</t>
  </si>
  <si>
    <t xml:space="preserve">06-04-2023</t>
  </si>
  <si>
    <t xml:space="preserve">Anaya Khan</t>
  </si>
  <si>
    <t xml:space="preserve">ORD-100256</t>
  </si>
  <si>
    <t xml:space="preserve">10/05/2023</t>
  </si>
  <si>
    <t xml:space="preserve">10/10/2023</t>
  </si>
  <si>
    <t xml:space="preserve">sofia johnson</t>
  </si>
  <si>
    <t xml:space="preserve">Sneakers</t>
  </si>
  <si>
    <t xml:space="preserve">ORD-100320</t>
  </si>
  <si>
    <t xml:space="preserve">24-11-2024</t>
  </si>
  <si>
    <t xml:space="preserve">29-11-2024</t>
  </si>
  <si>
    <t xml:space="preserve">Nina Martin</t>
  </si>
  <si>
    <t xml:space="preserve">ORD-100022</t>
  </si>
  <si>
    <t xml:space="preserve">12/08/2024</t>
  </si>
  <si>
    <t xml:space="preserve">16/08/2024</t>
  </si>
  <si>
    <t xml:space="preserve">Mei Ali</t>
  </si>
  <si>
    <t xml:space="preserve">ORD-100300</t>
  </si>
  <si>
    <t xml:space="preserve">2023-11-18</t>
  </si>
  <si>
    <t xml:space="preserve">Amara Kim</t>
  </si>
  <si>
    <t xml:space="preserve">ORD-100507</t>
  </si>
  <si>
    <t xml:space="preserve">Oct 10, 2024</t>
  </si>
  <si>
    <t xml:space="preserve">Oct 14, 2024</t>
  </si>
  <si>
    <t xml:space="preserve">Liam Wang</t>
  </si>
  <si>
    <t xml:space="preserve">ORD-100138</t>
  </si>
  <si>
    <t xml:space="preserve">May 09, 2024</t>
  </si>
  <si>
    <t xml:space="preserve">May 15, 2024</t>
  </si>
  <si>
    <t xml:space="preserve">ORD-100640</t>
  </si>
  <si>
    <t xml:space="preserve">05/16/2024</t>
  </si>
  <si>
    <t xml:space="preserve">ORD-100606</t>
  </si>
  <si>
    <t xml:space="preserve">Oct 09, 2023</t>
  </si>
  <si>
    <t xml:space="preserve">Oct 15, 2023</t>
  </si>
  <si>
    <t xml:space="preserve">ethan novak</t>
  </si>
  <si>
    <t xml:space="preserve">ORD-100148</t>
  </si>
  <si>
    <t xml:space="preserve">10/14/2023</t>
  </si>
  <si>
    <t xml:space="preserve">Zara Ali</t>
  </si>
  <si>
    <t xml:space="preserve">ORD-100328</t>
  </si>
  <si>
    <t xml:space="preserve">27-11-2024</t>
  </si>
  <si>
    <t xml:space="preserve">01-12-2024</t>
  </si>
  <si>
    <t xml:space="preserve">Anaya Patel</t>
  </si>
  <si>
    <t xml:space="preserve">ORD-100501</t>
  </si>
  <si>
    <t xml:space="preserve">26/06/2023</t>
  </si>
  <si>
    <t xml:space="preserve">29/06/2023</t>
  </si>
  <si>
    <t xml:space="preserve">Emma Rossi</t>
  </si>
  <si>
    <t xml:space="preserve">ORD-100179</t>
  </si>
  <si>
    <t xml:space="preserve">01/10/2024</t>
  </si>
  <si>
    <t xml:space="preserve">01/15/2024</t>
  </si>
  <si>
    <t xml:space="preserve">Anaya Chen</t>
  </si>
  <si>
    <t xml:space="preserve">ORD-100578</t>
  </si>
  <si>
    <t xml:space="preserve">01/11/2024</t>
  </si>
  <si>
    <t xml:space="preserve">01/18/2024</t>
  </si>
  <si>
    <t xml:space="preserve">Ethan Petrov</t>
  </si>
  <si>
    <t xml:space="preserve">ORD-100278</t>
  </si>
  <si>
    <t xml:space="preserve">05/27/2024</t>
  </si>
  <si>
    <t xml:space="preserve">06/03/2024</t>
  </si>
  <si>
    <t xml:space="preserve">Sofia Martin</t>
  </si>
  <si>
    <t xml:space="preserve">ORD-100132</t>
  </si>
  <si>
    <t xml:space="preserve">01/27/2023</t>
  </si>
  <si>
    <t xml:space="preserve">01/30/2023</t>
  </si>
  <si>
    <t xml:space="preserve">  John Kim  </t>
  </si>
  <si>
    <t xml:space="preserve">ORD-100382</t>
  </si>
  <si>
    <t xml:space="preserve">Oct 07, 2023</t>
  </si>
  <si>
    <t xml:space="preserve">  Sofia Kim  </t>
  </si>
  <si>
    <t xml:space="preserve">ORD-100379</t>
  </si>
  <si>
    <t xml:space="preserve">Feb 05, 2023</t>
  </si>
  <si>
    <t xml:space="preserve">Feb 06, 2023</t>
  </si>
  <si>
    <t xml:space="preserve">ORD-100074</t>
  </si>
  <si>
    <t xml:space="preserve">Dec 20, 2023</t>
  </si>
  <si>
    <t xml:space="preserve">Dec 24, 2023</t>
  </si>
  <si>
    <t xml:space="preserve">Mei Martin</t>
  </si>
  <si>
    <t xml:space="preserve">ORD-100168</t>
  </si>
  <si>
    <t xml:space="preserve">Dec 27, 2024</t>
  </si>
  <si>
    <t xml:space="preserve">Dec 29, 2024</t>
  </si>
  <si>
    <t xml:space="preserve">ORD-100220</t>
  </si>
  <si>
    <t xml:space="preserve">25/08/2023</t>
  </si>
  <si>
    <t xml:space="preserve">30/08/2023</t>
  </si>
  <si>
    <t xml:space="preserve">Isabella Smith</t>
  </si>
  <si>
    <t xml:space="preserve">ORD-100192</t>
  </si>
  <si>
    <t xml:space="preserve">2023-12-03</t>
  </si>
  <si>
    <t xml:space="preserve">Liam Johnson</t>
  </si>
  <si>
    <t xml:space="preserve">ORD-100209</t>
  </si>
  <si>
    <t xml:space="preserve">17/07/2024</t>
  </si>
  <si>
    <t xml:space="preserve">20/07/2024</t>
  </si>
  <si>
    <t xml:space="preserve">Olga Petrov</t>
  </si>
  <si>
    <t xml:space="preserve">ORD-100498</t>
  </si>
  <si>
    <t xml:space="preserve">08/04/2023</t>
  </si>
  <si>
    <t xml:space="preserve">08/07/2023</t>
  </si>
  <si>
    <t xml:space="preserve">Liam Sharma</t>
  </si>
  <si>
    <t xml:space="preserve">ORD-100273</t>
  </si>
  <si>
    <t xml:space="preserve">2024-08-18</t>
  </si>
  <si>
    <t xml:space="preserve">2024-08-22</t>
  </si>
  <si>
    <t xml:space="preserve">ORD-100570</t>
  </si>
  <si>
    <t xml:space="preserve">22/01/2023</t>
  </si>
  <si>
    <t xml:space="preserve">26/01/2023</t>
  </si>
  <si>
    <t xml:space="preserve">Carlos Sharma</t>
  </si>
  <si>
    <t xml:space="preserve">ORD-100054</t>
  </si>
  <si>
    <t xml:space="preserve">2024-09-24</t>
  </si>
  <si>
    <t xml:space="preserve">2024-09-28</t>
  </si>
  <si>
    <t xml:space="preserve">  Ivan Wang  </t>
  </si>
  <si>
    <t xml:space="preserve">ORD-100464</t>
  </si>
  <si>
    <t xml:space="preserve">02/09/2023</t>
  </si>
  <si>
    <t xml:space="preserve">02/14/2023</t>
  </si>
  <si>
    <t xml:space="preserve">Liam Kim</t>
  </si>
  <si>
    <t xml:space="preserve">ORD-100046</t>
  </si>
  <si>
    <t xml:space="preserve">01-08-2024</t>
  </si>
  <si>
    <t xml:space="preserve">03-08-2024</t>
  </si>
  <si>
    <t xml:space="preserve">Maria Novak</t>
  </si>
  <si>
    <t xml:space="preserve">ORD-100297</t>
  </si>
  <si>
    <t xml:space="preserve">2024-03-21</t>
  </si>
  <si>
    <t xml:space="preserve">2024-03-28</t>
  </si>
  <si>
    <t xml:space="preserve">Stapler</t>
  </si>
  <si>
    <t xml:space="preserve">ORD-100372</t>
  </si>
  <si>
    <t xml:space="preserve">31/08/2024</t>
  </si>
  <si>
    <t xml:space="preserve">Fatima Said</t>
  </si>
  <si>
    <t xml:space="preserve">ORD-100291</t>
  </si>
  <si>
    <t xml:space="preserve">May 24, 2023</t>
  </si>
  <si>
    <t xml:space="preserve">May 26, 2023</t>
  </si>
  <si>
    <t xml:space="preserve">Hassan Martin</t>
  </si>
  <si>
    <t xml:space="preserve">ORD-100594</t>
  </si>
  <si>
    <t xml:space="preserve">09/14/2024</t>
  </si>
  <si>
    <t xml:space="preserve">09/17/2024</t>
  </si>
  <si>
    <t xml:space="preserve">Noah Kim</t>
  </si>
  <si>
    <t xml:space="preserve">ORD-100479</t>
  </si>
  <si>
    <t xml:space="preserve">27/04/2023</t>
  </si>
  <si>
    <t xml:space="preserve">30/04/2023</t>
  </si>
  <si>
    <t xml:space="preserve">Yuki Garcia</t>
  </si>
  <si>
    <t xml:space="preserve">ORD-100437</t>
  </si>
  <si>
    <t xml:space="preserve">15/06/2024</t>
  </si>
  <si>
    <t xml:space="preserve">19/06/2024</t>
  </si>
  <si>
    <t xml:space="preserve">Priya Rossi</t>
  </si>
  <si>
    <t xml:space="preserve">ORD-100188</t>
  </si>
  <si>
    <t xml:space="preserve">Aug 11, 2024</t>
  </si>
  <si>
    <t xml:space="preserve">Aug 12, 2024</t>
  </si>
  <si>
    <t xml:space="preserve">Olga Martin</t>
  </si>
  <si>
    <t xml:space="preserve">ORD-100204</t>
  </si>
  <si>
    <t xml:space="preserve">Jul 25, 2024</t>
  </si>
  <si>
    <t xml:space="preserve">Aug 01, 2024</t>
  </si>
  <si>
    <t xml:space="preserve">mei tanaka</t>
  </si>
  <si>
    <t xml:space="preserve">ORD-100548</t>
  </si>
  <si>
    <t xml:space="preserve">08/27/2024</t>
  </si>
  <si>
    <t xml:space="preserve">09/03/2024</t>
  </si>
  <si>
    <t xml:space="preserve">  Fatima Said  </t>
  </si>
  <si>
    <t xml:space="preserve">ORD-100399</t>
  </si>
  <si>
    <t xml:space="preserve">20-03-2024</t>
  </si>
  <si>
    <t xml:space="preserve">23-03-2024</t>
  </si>
  <si>
    <t xml:space="preserve">Amara Chen</t>
  </si>
  <si>
    <t xml:space="preserve">ORD-100395</t>
  </si>
  <si>
    <t xml:space="preserve">30-05-2024</t>
  </si>
  <si>
    <t xml:space="preserve">06-06-2024</t>
  </si>
  <si>
    <t xml:space="preserve">ORD-100308</t>
  </si>
  <si>
    <t xml:space="preserve">04/16/2024</t>
  </si>
  <si>
    <t xml:space="preserve">04/22/2024</t>
  </si>
  <si>
    <t xml:space="preserve">Isabella Lee</t>
  </si>
  <si>
    <t xml:space="preserve">ORD-100525</t>
  </si>
  <si>
    <t xml:space="preserve">07/08/2024</t>
  </si>
  <si>
    <t xml:space="preserve">13/08/2024</t>
  </si>
  <si>
    <t xml:space="preserve">Emma Patel</t>
  </si>
  <si>
    <t xml:space="preserve">ORD-100367</t>
  </si>
  <si>
    <t xml:space="preserve">Jan 08, 2023</t>
  </si>
  <si>
    <t xml:space="preserve">Jan 14, 2023</t>
  </si>
  <si>
    <t xml:space="preserve">Priya Khan</t>
  </si>
  <si>
    <t xml:space="preserve">ORD-100142</t>
  </si>
  <si>
    <t xml:space="preserve">10-03-2023</t>
  </si>
  <si>
    <t xml:space="preserve">11-03-2023</t>
  </si>
  <si>
    <t xml:space="preserve">Diego Novak</t>
  </si>
  <si>
    <t xml:space="preserve">ORD-100055</t>
  </si>
  <si>
    <t xml:space="preserve">Jul 22, 2023</t>
  </si>
  <si>
    <t xml:space="preserve">Jul 24, 2023</t>
  </si>
  <si>
    <t xml:space="preserve">Maria Chen</t>
  </si>
  <si>
    <t xml:space="preserve">ORD-100397</t>
  </si>
  <si>
    <t xml:space="preserve">May 17, 2023</t>
  </si>
  <si>
    <t xml:space="preserve">May 20, 2023</t>
  </si>
  <si>
    <t xml:space="preserve">ORD-100339</t>
  </si>
  <si>
    <t xml:space="preserve">30-09-2024</t>
  </si>
  <si>
    <t xml:space="preserve">02-10-2024</t>
  </si>
  <si>
    <t xml:space="preserve">Hassan Brown</t>
  </si>
  <si>
    <t xml:space="preserve">ORD-100418</t>
  </si>
  <si>
    <t xml:space="preserve">Mar 06, 2024</t>
  </si>
  <si>
    <t xml:space="preserve">Mar 12, 2024</t>
  </si>
  <si>
    <t xml:space="preserve">Emma Lee</t>
  </si>
  <si>
    <t xml:space="preserve">ORD-100508</t>
  </si>
  <si>
    <t xml:space="preserve">09/21/2023</t>
  </si>
  <si>
    <t xml:space="preserve">09/27/2023</t>
  </si>
  <si>
    <t xml:space="preserve">Zara Chen</t>
  </si>
  <si>
    <t xml:space="preserve">ORD-100271</t>
  </si>
  <si>
    <t xml:space="preserve">May 01, 2024</t>
  </si>
  <si>
    <t xml:space="preserve">May 08, 2024</t>
  </si>
  <si>
    <t xml:space="preserve">ORD-100217</t>
  </si>
  <si>
    <t xml:space="preserve">2023-11-09</t>
  </si>
  <si>
    <t xml:space="preserve">2023-11-12</t>
  </si>
  <si>
    <t xml:space="preserve">  Hassan Johnson  </t>
  </si>
  <si>
    <t xml:space="preserve">ORD-100108</t>
  </si>
  <si>
    <t xml:space="preserve">2023-07-22</t>
  </si>
  <si>
    <t xml:space="preserve">2023-07-26</t>
  </si>
  <si>
    <t xml:space="preserve">Diego Smith</t>
  </si>
  <si>
    <t xml:space="preserve">ORD-100361</t>
  </si>
  <si>
    <t xml:space="preserve">Olga Chen</t>
  </si>
  <si>
    <t xml:space="preserve">ORD-100644</t>
  </si>
  <si>
    <t xml:space="preserve">15/07/2024</t>
  </si>
  <si>
    <t xml:space="preserve">21/07/2024</t>
  </si>
  <si>
    <t xml:space="preserve">carlos khan</t>
  </si>
  <si>
    <t xml:space="preserve">ORD-100003</t>
  </si>
  <si>
    <t xml:space="preserve">Aug 05, 2023</t>
  </si>
  <si>
    <t xml:space="preserve">Aug 10, 2023</t>
  </si>
  <si>
    <t xml:space="preserve">Noah Patel</t>
  </si>
  <si>
    <t xml:space="preserve">ORD-100193</t>
  </si>
  <si>
    <t xml:space="preserve">Aug 30, 2023</t>
  </si>
  <si>
    <t xml:space="preserve">Sep 04, 2023</t>
  </si>
  <si>
    <t xml:space="preserve">Diego Patel</t>
  </si>
  <si>
    <t xml:space="preserve">ORD-100101</t>
  </si>
  <si>
    <t xml:space="preserve">Jan 06, 2023</t>
  </si>
  <si>
    <t xml:space="preserve">Jan 09, 2023</t>
  </si>
  <si>
    <t xml:space="preserve">Maria Kim</t>
  </si>
  <si>
    <t xml:space="preserve">ORD-100649</t>
  </si>
  <si>
    <t xml:space="preserve">2023-05-07</t>
  </si>
  <si>
    <t xml:space="preserve">2023-05-09</t>
  </si>
  <si>
    <t xml:space="preserve">Omar Chen</t>
  </si>
  <si>
    <t xml:space="preserve">ORD-100116</t>
  </si>
  <si>
    <t xml:space="preserve">12-06-2023</t>
  </si>
  <si>
    <t xml:space="preserve">19-06-2023</t>
  </si>
  <si>
    <t xml:space="preserve">Liam Chen</t>
  </si>
  <si>
    <t xml:space="preserve">ORD-100248</t>
  </si>
  <si>
    <t xml:space="preserve">26-09-2024</t>
  </si>
  <si>
    <t xml:space="preserve">27-09-2024</t>
  </si>
  <si>
    <t xml:space="preserve">Grace Patel</t>
  </si>
  <si>
    <t xml:space="preserve">ORD-100052</t>
  </si>
  <si>
    <t xml:space="preserve">10-03-2024</t>
  </si>
  <si>
    <t xml:space="preserve">14-03-2024</t>
  </si>
  <si>
    <t xml:space="preserve">Olga Kim</t>
  </si>
  <si>
    <t xml:space="preserve">ORD-100017</t>
  </si>
  <si>
    <t xml:space="preserve">11/11/2024</t>
  </si>
  <si>
    <t xml:space="preserve">14/11/2024</t>
  </si>
  <si>
    <t xml:space="preserve">Isabella Khan</t>
  </si>
  <si>
    <t xml:space="preserve">ORD-100517</t>
  </si>
  <si>
    <t xml:space="preserve">06/09/2023</t>
  </si>
  <si>
    <t xml:space="preserve">13/09/2023</t>
  </si>
  <si>
    <t xml:space="preserve">Liam Khan</t>
  </si>
  <si>
    <t xml:space="preserve">ORD-100146</t>
  </si>
  <si>
    <t xml:space="preserve">09/22/2023</t>
  </si>
  <si>
    <t xml:space="preserve">09/28/2023</t>
  </si>
  <si>
    <t xml:space="preserve">  wei ali  </t>
  </si>
  <si>
    <t xml:space="preserve">ORD-100050</t>
  </si>
  <si>
    <t xml:space="preserve">Nov 16, 2023</t>
  </si>
  <si>
    <t xml:space="preserve">Nov 19, 2023</t>
  </si>
  <si>
    <t xml:space="preserve">ORD-100625</t>
  </si>
  <si>
    <t xml:space="preserve">Feb 13, 2023</t>
  </si>
  <si>
    <t xml:space="preserve">Feb 14, 2023</t>
  </si>
  <si>
    <t xml:space="preserve">Carlos Smith</t>
  </si>
  <si>
    <t xml:space="preserve">ORD-100622</t>
  </si>
  <si>
    <t xml:space="preserve">2024-01-09</t>
  </si>
  <si>
    <t xml:space="preserve">2024-01-10</t>
  </si>
  <si>
    <t xml:space="preserve">  Wei Johnson  </t>
  </si>
  <si>
    <t xml:space="preserve">ORD-100394</t>
  </si>
  <si>
    <t xml:space="preserve">17-07-2023</t>
  </si>
  <si>
    <t xml:space="preserve">  Ivan Khan  </t>
  </si>
  <si>
    <t xml:space="preserve">ORD-100612</t>
  </si>
  <si>
    <t xml:space="preserve">19/03/2024</t>
  </si>
  <si>
    <t xml:space="preserve">24/03/2024</t>
  </si>
  <si>
    <t xml:space="preserve">ORD-100475</t>
  </si>
  <si>
    <t xml:space="preserve">03/12/2024</t>
  </si>
  <si>
    <t xml:space="preserve">03/18/2024</t>
  </si>
  <si>
    <t xml:space="preserve">Carlos Tanaka</t>
  </si>
  <si>
    <t xml:space="preserve">ORD-100354</t>
  </si>
  <si>
    <t xml:space="preserve">29-06-2024</t>
  </si>
  <si>
    <t xml:space="preserve">Priya Martin</t>
  </si>
  <si>
    <t xml:space="preserve">ORD-100565</t>
  </si>
  <si>
    <t xml:space="preserve">17/08/2023</t>
  </si>
  <si>
    <t xml:space="preserve">18/08/2023</t>
  </si>
  <si>
    <t xml:space="preserve">Fatima Johnson</t>
  </si>
  <si>
    <t xml:space="preserve">ORD-100030</t>
  </si>
  <si>
    <t xml:space="preserve">04/05/2024</t>
  </si>
  <si>
    <t xml:space="preserve">05/05/2024</t>
  </si>
  <si>
    <t xml:space="preserve">  Diego Okafor  </t>
  </si>
  <si>
    <t xml:space="preserve">ORD-100244</t>
  </si>
  <si>
    <t xml:space="preserve">Oct 26, 2023</t>
  </si>
  <si>
    <t xml:space="preserve">Nov 02, 2023</t>
  </si>
  <si>
    <t xml:space="preserve">John Ali</t>
  </si>
  <si>
    <t xml:space="preserve">ORD-100117</t>
  </si>
  <si>
    <t xml:space="preserve">11/27/2024</t>
  </si>
  <si>
    <t xml:space="preserve">12/01/2024</t>
  </si>
  <si>
    <t xml:space="preserve">ORD-100222</t>
  </si>
  <si>
    <t xml:space="preserve">10-02-2023</t>
  </si>
  <si>
    <t xml:space="preserve">15-02-2023</t>
  </si>
  <si>
    <t xml:space="preserve">Maria Sharma</t>
  </si>
  <si>
    <t xml:space="preserve">ORD-100556</t>
  </si>
  <si>
    <t xml:space="preserve">14/03/2023</t>
  </si>
  <si>
    <t xml:space="preserve">19/03/2023</t>
  </si>
  <si>
    <t xml:space="preserve">Olga Johnson</t>
  </si>
  <si>
    <t xml:space="preserve">ORD-100538</t>
  </si>
  <si>
    <t xml:space="preserve">Jun 21, 2024</t>
  </si>
  <si>
    <t xml:space="preserve">Jun 23, 2024</t>
  </si>
  <si>
    <t xml:space="preserve">John Wang</t>
  </si>
  <si>
    <t xml:space="preserve">ORD-100027</t>
  </si>
  <si>
    <t xml:space="preserve">01-12-2023</t>
  </si>
  <si>
    <t xml:space="preserve">Mei Kim</t>
  </si>
  <si>
    <t xml:space="preserve">ORD-100051</t>
  </si>
  <si>
    <t xml:space="preserve">2023-05-27</t>
  </si>
  <si>
    <t xml:space="preserve">2023-06-01</t>
  </si>
  <si>
    <t xml:space="preserve">Wei Garcia</t>
  </si>
  <si>
    <t xml:space="preserve">ORD-100262</t>
  </si>
  <si>
    <t xml:space="preserve">08/07/2024</t>
  </si>
  <si>
    <t xml:space="preserve">08/13/2024</t>
  </si>
  <si>
    <t xml:space="preserve">Kenji Tanaka</t>
  </si>
  <si>
    <t xml:space="preserve">ORD-100581</t>
  </si>
  <si>
    <t xml:space="preserve">12-08-2024</t>
  </si>
  <si>
    <t xml:space="preserve">14-08-2024</t>
  </si>
  <si>
    <t xml:space="preserve">Yuki Chen</t>
  </si>
  <si>
    <t xml:space="preserve">ORD-100335</t>
  </si>
  <si>
    <t xml:space="preserve">2024-01-22</t>
  </si>
  <si>
    <t xml:space="preserve">2024-01-25</t>
  </si>
  <si>
    <t xml:space="preserve">ORD-100306</t>
  </si>
  <si>
    <t xml:space="preserve">2024-12-01</t>
  </si>
  <si>
    <t xml:space="preserve">2024-12-04</t>
  </si>
  <si>
    <t xml:space="preserve">lucas petrov</t>
  </si>
  <si>
    <t xml:space="preserve">ORD-100580</t>
  </si>
  <si>
    <t xml:space="preserve">04-04-2023</t>
  </si>
  <si>
    <t xml:space="preserve">Isabella Rossi</t>
  </si>
  <si>
    <t xml:space="preserve">ORD-100531</t>
  </si>
  <si>
    <t xml:space="preserve">26-04-2023</t>
  </si>
  <si>
    <t xml:space="preserve">Lucas Chen</t>
  </si>
  <si>
    <t xml:space="preserve">ORD-100249</t>
  </si>
  <si>
    <t xml:space="preserve">13/03/2024</t>
  </si>
  <si>
    <t xml:space="preserve">Maria Brown</t>
  </si>
  <si>
    <t xml:space="preserve">ORD-100058</t>
  </si>
  <si>
    <t xml:space="preserve">2024-11-03</t>
  </si>
  <si>
    <t xml:space="preserve">2024-11-08</t>
  </si>
  <si>
    <t xml:space="preserve">ORD-100186</t>
  </si>
  <si>
    <t xml:space="preserve">21-03-2024</t>
  </si>
  <si>
    <t xml:space="preserve">22-03-2024</t>
  </si>
  <si>
    <t xml:space="preserve">  sofia wang  </t>
  </si>
  <si>
    <t xml:space="preserve">ORD-100454</t>
  </si>
  <si>
    <t xml:space="preserve">13/07/2024</t>
  </si>
  <si>
    <t xml:space="preserve">Emma Martin</t>
  </si>
  <si>
    <t xml:space="preserve">ORD-100523</t>
  </si>
  <si>
    <t xml:space="preserve">2024-10-20</t>
  </si>
  <si>
    <t xml:space="preserve">2024-10-22</t>
  </si>
  <si>
    <t xml:space="preserve">Arjun Lee</t>
  </si>
  <si>
    <t xml:space="preserve">ORD-100097</t>
  </si>
  <si>
    <t xml:space="preserve">06/23/2024</t>
  </si>
  <si>
    <t xml:space="preserve">06/26/2024</t>
  </si>
  <si>
    <t xml:space="preserve">  Liam Fernandez  </t>
  </si>
  <si>
    <t xml:space="preserve">ORD-100532</t>
  </si>
  <si>
    <t xml:space="preserve">Jan 07, 2023</t>
  </si>
  <si>
    <t xml:space="preserve">Jan 12, 2023</t>
  </si>
  <si>
    <t xml:space="preserve">John Smith</t>
  </si>
  <si>
    <t xml:space="preserve">ORD-100607</t>
  </si>
  <si>
    <t xml:space="preserve">31-10-2024</t>
  </si>
  <si>
    <t xml:space="preserve">02-11-2024</t>
  </si>
  <si>
    <t xml:space="preserve">Priya Ali</t>
  </si>
  <si>
    <t xml:space="preserve">ORD-100378</t>
  </si>
  <si>
    <t xml:space="preserve">Feb 08, 2024</t>
  </si>
  <si>
    <t xml:space="preserve">Feb 13, 2024</t>
  </si>
  <si>
    <t xml:space="preserve">Ethan Martin</t>
  </si>
  <si>
    <t xml:space="preserve">ORD-100272</t>
  </si>
  <si>
    <t xml:space="preserve">2023-11-06</t>
  </si>
  <si>
    <t xml:space="preserve">2023-11-13</t>
  </si>
  <si>
    <t xml:space="preserve">Amara Novak</t>
  </si>
  <si>
    <t xml:space="preserve">ORD-100409</t>
  </si>
  <si>
    <t xml:space="preserve">06/16/2023</t>
  </si>
  <si>
    <t xml:space="preserve">06/21/2023</t>
  </si>
  <si>
    <t xml:space="preserve">  Raj Lee  </t>
  </si>
  <si>
    <t xml:space="preserve">ORD-100336</t>
  </si>
  <si>
    <t xml:space="preserve">Mar 14, 2024</t>
  </si>
  <si>
    <t xml:space="preserve">Mar 19, 2024</t>
  </si>
  <si>
    <t xml:space="preserve">Noah Smith</t>
  </si>
  <si>
    <t xml:space="preserve">ORD-100154</t>
  </si>
  <si>
    <t xml:space="preserve">2023-02-19</t>
  </si>
  <si>
    <t xml:space="preserve">2023-02-25</t>
  </si>
  <si>
    <t xml:space="preserve">Kenji Fernandez</t>
  </si>
  <si>
    <t xml:space="preserve">ORD-100572</t>
  </si>
  <si>
    <t xml:space="preserve">06/11/2024</t>
  </si>
  <si>
    <t xml:space="preserve">10/11/2024</t>
  </si>
  <si>
    <t xml:space="preserve">olga johnson</t>
  </si>
  <si>
    <t xml:space="preserve">ORD-100567</t>
  </si>
  <si>
    <t xml:space="preserve">14/09/2023</t>
  </si>
  <si>
    <t xml:space="preserve">16/09/2023</t>
  </si>
  <si>
    <t xml:space="preserve">Raj Sharma</t>
  </si>
  <si>
    <t xml:space="preserve">ORD-100327</t>
  </si>
  <si>
    <t xml:space="preserve">Oct 29, 2024</t>
  </si>
  <si>
    <t xml:space="preserve">Nov 05, 2024</t>
  </si>
  <si>
    <t xml:space="preserve">Omar Petrov</t>
  </si>
  <si>
    <t xml:space="preserve">ORD-100239</t>
  </si>
  <si>
    <t xml:space="preserve">2024-11-26</t>
  </si>
  <si>
    <t xml:space="preserve">2024-11-29</t>
  </si>
  <si>
    <t xml:space="preserve">ORD-100066</t>
  </si>
  <si>
    <t xml:space="preserve">2023-02-18</t>
  </si>
  <si>
    <t xml:space="preserve">ORD-100261</t>
  </si>
  <si>
    <t xml:space="preserve">31-05-2024</t>
  </si>
  <si>
    <t xml:space="preserve">01-06-2024</t>
  </si>
  <si>
    <t xml:space="preserve">Diego Okafor</t>
  </si>
  <si>
    <t xml:space="preserve">ORD-100304</t>
  </si>
  <si>
    <t xml:space="preserve">02/07/2023</t>
  </si>
  <si>
    <t xml:space="preserve">  Tom Fernandez  </t>
  </si>
  <si>
    <t xml:space="preserve">ORD-100002</t>
  </si>
  <si>
    <t xml:space="preserve">14-04-2023</t>
  </si>
  <si>
    <t xml:space="preserve">18-04-2023</t>
  </si>
  <si>
    <t xml:space="preserve">Arjun Wang</t>
  </si>
  <si>
    <t xml:space="preserve">ORD-100321</t>
  </si>
  <si>
    <t xml:space="preserve">2024-04-29</t>
  </si>
  <si>
    <t xml:space="preserve">2024-04-30</t>
  </si>
  <si>
    <t xml:space="preserve">Nina Wang</t>
  </si>
  <si>
    <t xml:space="preserve">ORD-100647</t>
  </si>
  <si>
    <t xml:space="preserve">2023-05-18</t>
  </si>
  <si>
    <t xml:space="preserve">2023-05-25</t>
  </si>
  <si>
    <t xml:space="preserve">Lucas Novak</t>
  </si>
  <si>
    <t xml:space="preserve">ORD-100082</t>
  </si>
  <si>
    <t xml:space="preserve">01/06/2023</t>
  </si>
  <si>
    <t xml:space="preserve">01/11/2023</t>
  </si>
  <si>
    <t xml:space="preserve">Emma Petrov</t>
  </si>
  <si>
    <t xml:space="preserve">ORD-100270</t>
  </si>
  <si>
    <t xml:space="preserve">12/02/2024</t>
  </si>
  <si>
    <t xml:space="preserve">14/02/2024</t>
  </si>
  <si>
    <t xml:space="preserve">olga wang</t>
  </si>
  <si>
    <t xml:space="preserve">ORD-100618</t>
  </si>
  <si>
    <t xml:space="preserve">21-08-2024</t>
  </si>
  <si>
    <t xml:space="preserve">24-08-2024</t>
  </si>
  <si>
    <t xml:space="preserve">ORD-100447</t>
  </si>
  <si>
    <t xml:space="preserve">08-05-2024</t>
  </si>
  <si>
    <t xml:space="preserve">ORD-100038</t>
  </si>
  <si>
    <t xml:space="preserve">2024-03-27</t>
  </si>
  <si>
    <t xml:space="preserve">Kenji Smith</t>
  </si>
  <si>
    <t xml:space="preserve">ORD-100519</t>
  </si>
  <si>
    <t xml:space="preserve">04/06/2024</t>
  </si>
  <si>
    <t xml:space="preserve">10/06/2024</t>
  </si>
  <si>
    <t xml:space="preserve">Lucas Fernandez</t>
  </si>
  <si>
    <t xml:space="preserve">ORD-100638</t>
  </si>
  <si>
    <t xml:space="preserve">29-04-2024</t>
  </si>
  <si>
    <t xml:space="preserve">ORD-100455</t>
  </si>
  <si>
    <t xml:space="preserve">Jul 07, 2024</t>
  </si>
  <si>
    <t xml:space="preserve">Jul 10, 2024</t>
  </si>
  <si>
    <t xml:space="preserve">ORD-100010</t>
  </si>
  <si>
    <t xml:space="preserve">Feb 21, 2023</t>
  </si>
  <si>
    <t xml:space="preserve">Feb 26, 2023</t>
  </si>
  <si>
    <t xml:space="preserve">Ivan Martin</t>
  </si>
  <si>
    <t xml:space="preserve">ORD-100063</t>
  </si>
  <si>
    <t xml:space="preserve">Sep 15, 2024</t>
  </si>
  <si>
    <t xml:space="preserve">Maria Ali</t>
  </si>
  <si>
    <t xml:space="preserve">ORD-100032</t>
  </si>
  <si>
    <t xml:space="preserve">Oct 02, 2024</t>
  </si>
  <si>
    <t xml:space="preserve">Oct 07, 2024</t>
  </si>
  <si>
    <t xml:space="preserve">Ivan Patel</t>
  </si>
  <si>
    <t xml:space="preserve">ORD-100450</t>
  </si>
  <si>
    <t xml:space="preserve">Feb 04, 2023</t>
  </si>
  <si>
    <t xml:space="preserve">Feb 10, 2023</t>
  </si>
  <si>
    <t xml:space="preserve">ORD-100403</t>
  </si>
  <si>
    <t xml:space="preserve">04-12-2024</t>
  </si>
  <si>
    <t xml:space="preserve">07-12-2024</t>
  </si>
  <si>
    <t xml:space="preserve">Aisha Wang</t>
  </si>
  <si>
    <t xml:space="preserve">ORD-100602</t>
  </si>
  <si>
    <t xml:space="preserve">Feb 07, 2024</t>
  </si>
  <si>
    <t xml:space="preserve">Feb 09, 2024</t>
  </si>
  <si>
    <t xml:space="preserve">Hassan Petrov</t>
  </si>
  <si>
    <t xml:space="preserve">ORD-100358</t>
  </si>
  <si>
    <t xml:space="preserve">2023-03-23</t>
  </si>
  <si>
    <t xml:space="preserve">2023-03-24</t>
  </si>
  <si>
    <t xml:space="preserve">Amara Ali</t>
  </si>
  <si>
    <t xml:space="preserve">ORD-100025</t>
  </si>
  <si>
    <t xml:space="preserve">Nov 24, 2024</t>
  </si>
  <si>
    <t xml:space="preserve">Nov 28, 2024</t>
  </si>
  <si>
    <t xml:space="preserve">  Yuki Patel  </t>
  </si>
  <si>
    <t xml:space="preserve">ORD-100307</t>
  </si>
  <si>
    <t xml:space="preserve">Dec 25, 2024</t>
  </si>
  <si>
    <t xml:space="preserve">Hassan Tanaka</t>
  </si>
  <si>
    <t xml:space="preserve">ORD-100120</t>
  </si>
  <si>
    <t xml:space="preserve">01/02/2024</t>
  </si>
  <si>
    <t xml:space="preserve">08/02/2024</t>
  </si>
  <si>
    <t xml:space="preserve">Olga Wang</t>
  </si>
  <si>
    <t xml:space="preserve">ORD-100595</t>
  </si>
  <si>
    <t xml:space="preserve">2024-10-25</t>
  </si>
  <si>
    <t xml:space="preserve">2024-10-31</t>
  </si>
  <si>
    <t xml:space="preserve">zara kim</t>
  </si>
  <si>
    <t xml:space="preserve">ORD-100540</t>
  </si>
  <si>
    <t xml:space="preserve">15/11/2024</t>
  </si>
  <si>
    <t xml:space="preserve">Omar Kim</t>
  </si>
  <si>
    <t xml:space="preserve">ORD-100370</t>
  </si>
  <si>
    <t xml:space="preserve">07/15/2024</t>
  </si>
  <si>
    <t xml:space="preserve">07/22/2024</t>
  </si>
  <si>
    <t xml:space="preserve">Zara Tanaka</t>
  </si>
  <si>
    <t xml:space="preserve">ORD-100236</t>
  </si>
  <si>
    <t xml:space="preserve">Mar 08, 2023</t>
  </si>
  <si>
    <t xml:space="preserve">Mar 12, 2023</t>
  </si>
  <si>
    <t xml:space="preserve">Amara Tanaka</t>
  </si>
  <si>
    <t xml:space="preserve">ORD-100616</t>
  </si>
  <si>
    <t xml:space="preserve">21/05/2024</t>
  </si>
  <si>
    <t xml:space="preserve">25/05/2024</t>
  </si>
  <si>
    <t xml:space="preserve">Nina Said</t>
  </si>
  <si>
    <t xml:space="preserve">ORD-100283</t>
  </si>
  <si>
    <t xml:space="preserve">07/07/2024</t>
  </si>
  <si>
    <t xml:space="preserve">ORD-100089</t>
  </si>
  <si>
    <t xml:space="preserve">01/24/2023</t>
  </si>
  <si>
    <t xml:space="preserve">Hassan Novak</t>
  </si>
  <si>
    <t xml:space="preserve">ORD-100213</t>
  </si>
  <si>
    <t xml:space="preserve">29-03-2023</t>
  </si>
  <si>
    <t xml:space="preserve">02-04-2023</t>
  </si>
  <si>
    <t xml:space="preserve">Maria Garcia</t>
  </si>
  <si>
    <t xml:space="preserve">ORD-100065</t>
  </si>
  <si>
    <t xml:space="preserve">20-10-2024</t>
  </si>
  <si>
    <t xml:space="preserve">22-10-2024</t>
  </si>
  <si>
    <t xml:space="preserve">Isabella Tanaka</t>
  </si>
  <si>
    <t xml:space="preserve">ORD-100468</t>
  </si>
  <si>
    <t xml:space="preserve">08/19/2024</t>
  </si>
  <si>
    <t xml:space="preserve">08/20/2024</t>
  </si>
  <si>
    <t xml:space="preserve">Carlos Fernandez</t>
  </si>
  <si>
    <t xml:space="preserve">ORD-100390</t>
  </si>
  <si>
    <t xml:space="preserve">23-02-2023</t>
  </si>
  <si>
    <t xml:space="preserve">01-03-2023</t>
  </si>
  <si>
    <t xml:space="preserve">Olga Lee</t>
  </si>
  <si>
    <t xml:space="preserve">ORD-100518</t>
  </si>
  <si>
    <t xml:space="preserve">31/07/2024</t>
  </si>
  <si>
    <t xml:space="preserve">03/08/2024</t>
  </si>
  <si>
    <t xml:space="preserve">Aisha Johnson</t>
  </si>
  <si>
    <t xml:space="preserve">ORD-100634</t>
  </si>
  <si>
    <t xml:space="preserve">10/21/2023</t>
  </si>
  <si>
    <t xml:space="preserve">10/23/2023</t>
  </si>
  <si>
    <t xml:space="preserve">Emma Brown</t>
  </si>
  <si>
    <t xml:space="preserve">ORD-100500</t>
  </si>
  <si>
    <t xml:space="preserve">2023-10-03</t>
  </si>
  <si>
    <t xml:space="preserve">2023-10-08</t>
  </si>
  <si>
    <t xml:space="preserve">John Johnson</t>
  </si>
  <si>
    <t xml:space="preserve">ORD-100242</t>
  </si>
  <si>
    <t xml:space="preserve">08/04/2024</t>
  </si>
  <si>
    <t xml:space="preserve">08/08/2024</t>
  </si>
  <si>
    <t xml:space="preserve">ORD-100064</t>
  </si>
  <si>
    <t xml:space="preserve">2023-07-11</t>
  </si>
  <si>
    <t xml:space="preserve">2023-07-17</t>
  </si>
  <si>
    <t xml:space="preserve">  Lucas Wang  </t>
  </si>
  <si>
    <t xml:space="preserve">ORD-100187</t>
  </si>
  <si>
    <t xml:space="preserve">02/06/2023</t>
  </si>
  <si>
    <t xml:space="preserve">  John Johnson  </t>
  </si>
  <si>
    <t xml:space="preserve">ORD-100588</t>
  </si>
  <si>
    <t xml:space="preserve">16/10/2023</t>
  </si>
  <si>
    <t xml:space="preserve">Tom Sharma</t>
  </si>
  <si>
    <t xml:space="preserve">ORD-100433</t>
  </si>
  <si>
    <t xml:space="preserve">2024-08-20</t>
  </si>
  <si>
    <t xml:space="preserve">2024-08-24</t>
  </si>
  <si>
    <t xml:space="preserve">Noah Garcia</t>
  </si>
  <si>
    <t xml:space="preserve">ORD-100040</t>
  </si>
  <si>
    <t xml:space="preserve">27/05/2023</t>
  </si>
  <si>
    <t xml:space="preserve">29/05/2023</t>
  </si>
  <si>
    <t xml:space="preserve">liam tanaka</t>
  </si>
  <si>
    <t xml:space="preserve">ORD-100048</t>
  </si>
  <si>
    <t xml:space="preserve">30/12/2024</t>
  </si>
  <si>
    <t xml:space="preserve">03/01/2025</t>
  </si>
  <si>
    <t xml:space="preserve">Wei Brown</t>
  </si>
  <si>
    <t xml:space="preserve">ORD-100623</t>
  </si>
  <si>
    <t xml:space="preserve">09/27/2024</t>
  </si>
  <si>
    <t xml:space="preserve">09/28/2024</t>
  </si>
  <si>
    <t xml:space="preserve">Ethan Johnson</t>
  </si>
  <si>
    <t xml:space="preserve">ORD-100365</t>
  </si>
  <si>
    <t xml:space="preserve">16/12/2024</t>
  </si>
  <si>
    <t xml:space="preserve">19/12/2024</t>
  </si>
  <si>
    <t xml:space="preserve">ORD-100172</t>
  </si>
  <si>
    <t xml:space="preserve">Nov 20, 2024</t>
  </si>
  <si>
    <t xml:space="preserve">Nov 21, 2024</t>
  </si>
  <si>
    <t xml:space="preserve">  Arjun Lee  </t>
  </si>
  <si>
    <t xml:space="preserve">ORD-100318</t>
  </si>
  <si>
    <t xml:space="preserve">07/06/2024</t>
  </si>
  <si>
    <t xml:space="preserve">07/11/2024</t>
  </si>
  <si>
    <t xml:space="preserve">ORD-100407</t>
  </si>
  <si>
    <t xml:space="preserve">12/12/2023</t>
  </si>
  <si>
    <t xml:space="preserve">16/12/2023</t>
  </si>
  <si>
    <t xml:space="preserve">Yuki Smith</t>
  </si>
  <si>
    <t xml:space="preserve">ORD-100585</t>
  </si>
  <si>
    <t xml:space="preserve">26/05/2024</t>
  </si>
  <si>
    <t xml:space="preserve">30/05/2024</t>
  </si>
  <si>
    <t xml:space="preserve">Tom Johnson</t>
  </si>
  <si>
    <t xml:space="preserve">ORD-100240</t>
  </si>
  <si>
    <t xml:space="preserve">2024-02-08</t>
  </si>
  <si>
    <t xml:space="preserve">2024-02-14</t>
  </si>
  <si>
    <t xml:space="preserve">Diego Fernandez</t>
  </si>
  <si>
    <t xml:space="preserve">ORD-100453</t>
  </si>
  <si>
    <t xml:space="preserve">21-04-2023</t>
  </si>
  <si>
    <t xml:space="preserve">27-04-2023</t>
  </si>
  <si>
    <t xml:space="preserve">Carlos Said</t>
  </si>
  <si>
    <t xml:space="preserve">ORD-100305</t>
  </si>
  <si>
    <t xml:space="preserve">ORD-100285</t>
  </si>
  <si>
    <t xml:space="preserve">12/16/2023</t>
  </si>
  <si>
    <t xml:space="preserve">12/20/2023</t>
  </si>
  <si>
    <t xml:space="preserve">Mei Wang</t>
  </si>
  <si>
    <t xml:space="preserve">ORD-100245</t>
  </si>
  <si>
    <t xml:space="preserve">2023-02-03</t>
  </si>
  <si>
    <t xml:space="preserve">2023-02-06</t>
  </si>
  <si>
    <t xml:space="preserve">ORD-100056</t>
  </si>
  <si>
    <t xml:space="preserve">Oct 14, 2023</t>
  </si>
  <si>
    <t xml:space="preserve">ORD-100515</t>
  </si>
  <si>
    <t xml:space="preserve">01/04/2024</t>
  </si>
  <si>
    <t xml:space="preserve">Kenji Martin</t>
  </si>
  <si>
    <t xml:space="preserve">ORD-100071</t>
  </si>
  <si>
    <t xml:space="preserve">02/03/2024</t>
  </si>
  <si>
    <t xml:space="preserve">Carlos Brown</t>
  </si>
  <si>
    <t xml:space="preserve">ORD-100509</t>
  </si>
  <si>
    <t xml:space="preserve">11/25/2024</t>
  </si>
  <si>
    <t xml:space="preserve">11/28/2024</t>
  </si>
  <si>
    <t xml:space="preserve">  Olga Patel  </t>
  </si>
  <si>
    <t xml:space="preserve">ORD-100145</t>
  </si>
  <si>
    <t xml:space="preserve">08/05/2024</t>
  </si>
  <si>
    <t xml:space="preserve">08/06/2024</t>
  </si>
  <si>
    <t xml:space="preserve">ORD-100090</t>
  </si>
  <si>
    <t xml:space="preserve">2024-12-21</t>
  </si>
  <si>
    <t xml:space="preserve">2024-12-28</t>
  </si>
  <si>
    <t xml:space="preserve">ORD-100166</t>
  </si>
  <si>
    <t xml:space="preserve">2024-07-29</t>
  </si>
  <si>
    <t xml:space="preserve">2024-08-05</t>
  </si>
  <si>
    <t xml:space="preserve">Arjun Novak</t>
  </si>
  <si>
    <t xml:space="preserve">ORD-100404</t>
  </si>
  <si>
    <t xml:space="preserve">15-10-2023</t>
  </si>
  <si>
    <t xml:space="preserve">Carlos Johnson</t>
  </si>
  <si>
    <t xml:space="preserve">ORD-100170</t>
  </si>
  <si>
    <t xml:space="preserve">Apr 27, 2023</t>
  </si>
  <si>
    <t xml:space="preserve">May 01, 2023</t>
  </si>
  <si>
    <t xml:space="preserve">  Hassan Ali  </t>
  </si>
  <si>
    <t xml:space="preserve">ORD-100388</t>
  </si>
  <si>
    <t xml:space="preserve">19-01-2024</t>
  </si>
  <si>
    <t xml:space="preserve">22-01-2024</t>
  </si>
  <si>
    <t xml:space="preserve">Zara Johnson</t>
  </si>
  <si>
    <t xml:space="preserve">ORD-100480</t>
  </si>
  <si>
    <t xml:space="preserve">Oct 02, 2023</t>
  </si>
  <si>
    <t xml:space="preserve">Oct 06, 2023</t>
  </si>
  <si>
    <t xml:space="preserve">Noah Sharma</t>
  </si>
  <si>
    <t xml:space="preserve">ORD-100243</t>
  </si>
  <si>
    <t xml:space="preserve">2024-07-01</t>
  </si>
  <si>
    <t xml:space="preserve">2024-07-08</t>
  </si>
  <si>
    <t xml:space="preserve">ORD-100087</t>
  </si>
  <si>
    <t xml:space="preserve">Lucas Tanaka</t>
  </si>
  <si>
    <t xml:space="preserve">ORD-100214</t>
  </si>
  <si>
    <t xml:space="preserve">12/19/2023</t>
  </si>
  <si>
    <t xml:space="preserve">12/24/2023</t>
  </si>
  <si>
    <t xml:space="preserve">ORD-100173</t>
  </si>
  <si>
    <t xml:space="preserve">Jul 12, 2024</t>
  </si>
  <si>
    <t xml:space="preserve">Jul 15, 2024</t>
  </si>
  <si>
    <t xml:space="preserve">Carlos Ali</t>
  </si>
  <si>
    <t xml:space="preserve">ORD-100118</t>
  </si>
  <si>
    <t xml:space="preserve">Sep 16, 2024</t>
  </si>
  <si>
    <t xml:space="preserve">Sep 22, 2024</t>
  </si>
  <si>
    <t xml:space="preserve">Mei Patel</t>
  </si>
  <si>
    <t xml:space="preserve">ORD-100119</t>
  </si>
  <si>
    <t xml:space="preserve">06-09-2024</t>
  </si>
  <si>
    <t xml:space="preserve">12-09-2024</t>
  </si>
  <si>
    <t xml:space="preserve">Maria Smith</t>
  </si>
  <si>
    <t xml:space="preserve">ORD-100377</t>
  </si>
  <si>
    <t xml:space="preserve">05/05/2023</t>
  </si>
  <si>
    <t xml:space="preserve">09/05/2023</t>
  </si>
  <si>
    <t xml:space="preserve">ORD-100284</t>
  </si>
  <si>
    <t xml:space="preserve">2024-08-11</t>
  </si>
  <si>
    <t xml:space="preserve">Nina Novak</t>
  </si>
  <si>
    <t xml:space="preserve">ORD-100316</t>
  </si>
  <si>
    <t xml:space="preserve">2024-02-16</t>
  </si>
  <si>
    <t xml:space="preserve">2024-02-23</t>
  </si>
  <si>
    <t xml:space="preserve">Priya Fernandez</t>
  </si>
  <si>
    <t xml:space="preserve">ORD-100324</t>
  </si>
  <si>
    <t xml:space="preserve">2023-01-20</t>
  </si>
  <si>
    <t xml:space="preserve">2023-01-21</t>
  </si>
  <si>
    <t xml:space="preserve">Nina Johnson</t>
  </si>
  <si>
    <t xml:space="preserve">ORD-100162</t>
  </si>
  <si>
    <t xml:space="preserve">Ethan Patel</t>
  </si>
  <si>
    <t xml:space="preserve">ORD-100114</t>
  </si>
  <si>
    <t xml:space="preserve">2023-10-09</t>
  </si>
  <si>
    <t xml:space="preserve">Kenji Chen</t>
  </si>
  <si>
    <t xml:space="preserve">ORD-100158</t>
  </si>
  <si>
    <t xml:space="preserve">2024-01-03</t>
  </si>
  <si>
    <t xml:space="preserve">ORD-100150</t>
  </si>
  <si>
    <t xml:space="preserve">01/16/2024</t>
  </si>
  <si>
    <t xml:space="preserve">01/19/2024</t>
  </si>
  <si>
    <t xml:space="preserve">Kenji Khan</t>
  </si>
  <si>
    <t xml:space="preserve">ORD-100289</t>
  </si>
  <si>
    <t xml:space="preserve">Jun 04, 2023</t>
  </si>
  <si>
    <t xml:space="preserve">Jun 10, 2023</t>
  </si>
  <si>
    <t xml:space="preserve">Aisha Petrov</t>
  </si>
  <si>
    <t xml:space="preserve">ORD-100451</t>
  </si>
  <si>
    <t xml:space="preserve">May 27, 2023</t>
  </si>
  <si>
    <t xml:space="preserve">Isabella Ali</t>
  </si>
  <si>
    <t xml:space="preserve">ORD-100031</t>
  </si>
  <si>
    <t xml:space="preserve">03/03/2023</t>
  </si>
  <si>
    <t xml:space="preserve">08/03/2023</t>
  </si>
  <si>
    <t xml:space="preserve">Fatima Patel</t>
  </si>
  <si>
    <t xml:space="preserve">ORD-100340</t>
  </si>
  <si>
    <t xml:space="preserve">28-06-2023</t>
  </si>
  <si>
    <t xml:space="preserve">01-07-2023</t>
  </si>
  <si>
    <t xml:space="preserve">Sofia Johnson</t>
  </si>
  <si>
    <t xml:space="preserve">ORD-100020</t>
  </si>
  <si>
    <t xml:space="preserve">20-04-2024</t>
  </si>
  <si>
    <t xml:space="preserve">26-04-2024</t>
  </si>
  <si>
    <t xml:space="preserve">Nina Lee</t>
  </si>
  <si>
    <t xml:space="preserve">ORD-100113</t>
  </si>
  <si>
    <t xml:space="preserve">27-10-2023</t>
  </si>
  <si>
    <t xml:space="preserve">30-10-2023</t>
  </si>
  <si>
    <t xml:space="preserve">Tom Martin</t>
  </si>
  <si>
    <t xml:space="preserve">ORD-100513</t>
  </si>
  <si>
    <t xml:space="preserve">05-07-2023</t>
  </si>
  <si>
    <t xml:space="preserve">Nina Brown</t>
  </si>
  <si>
    <t xml:space="preserve">ORD-100000</t>
  </si>
  <si>
    <t xml:space="preserve">15/04/2023</t>
  </si>
  <si>
    <t xml:space="preserve">21/04/2023</t>
  </si>
  <si>
    <t xml:space="preserve">nina chen</t>
  </si>
  <si>
    <t xml:space="preserve">ORD-100323</t>
  </si>
  <si>
    <t xml:space="preserve">2024-11-11</t>
  </si>
  <si>
    <t xml:space="preserve">2024-11-16</t>
  </si>
  <si>
    <t xml:space="preserve">sofia fernandez</t>
  </si>
  <si>
    <t xml:space="preserve">ORD-100346</t>
  </si>
  <si>
    <t xml:space="preserve">09/06/2023</t>
  </si>
  <si>
    <t xml:space="preserve">Sofia Patel</t>
  </si>
  <si>
    <t xml:space="preserve">ORD-100258</t>
  </si>
  <si>
    <t xml:space="preserve">05/11/2024</t>
  </si>
  <si>
    <t xml:space="preserve">Zara Rossi</t>
  </si>
  <si>
    <t xml:space="preserve">ORD-100641</t>
  </si>
  <si>
    <t xml:space="preserve">06-03-2023</t>
  </si>
  <si>
    <t xml:space="preserve">Olga Tanaka</t>
  </si>
  <si>
    <t xml:space="preserve">ORD-100561</t>
  </si>
  <si>
    <t xml:space="preserve">10/03/2024</t>
  </si>
  <si>
    <t xml:space="preserve">Diego Chen</t>
  </si>
  <si>
    <t xml:space="preserve">ORD-100466</t>
  </si>
  <si>
    <t xml:space="preserve">Sep 23, 2023</t>
  </si>
  <si>
    <t xml:space="preserve">Sep 26, 2023</t>
  </si>
  <si>
    <t xml:space="preserve">ORD-100389</t>
  </si>
  <si>
    <t xml:space="preserve">11/05/2024</t>
  </si>
  <si>
    <t xml:space="preserve">ORD-100004</t>
  </si>
  <si>
    <t xml:space="preserve">2024-11-27</t>
  </si>
  <si>
    <t xml:space="preserve">ORD-100319</t>
  </si>
  <si>
    <t xml:space="preserve">13/11/2024</t>
  </si>
  <si>
    <t xml:space="preserve">Omar Garcia</t>
  </si>
  <si>
    <t xml:space="preserve">ORD-100477</t>
  </si>
  <si>
    <t xml:space="preserve">28-04-2024</t>
  </si>
  <si>
    <t xml:space="preserve">Emma Okafor</t>
  </si>
  <si>
    <t xml:space="preserve">ORD-100080</t>
  </si>
  <si>
    <t xml:space="preserve">Jul 28, 2024</t>
  </si>
  <si>
    <t xml:space="preserve">Aisha Ali</t>
  </si>
  <si>
    <t xml:space="preserve">ORD-100530</t>
  </si>
  <si>
    <t xml:space="preserve">Jan 24, 2023</t>
  </si>
  <si>
    <t xml:space="preserve">Jan 26, 2023</t>
  </si>
  <si>
    <t xml:space="preserve">ORD-100026</t>
  </si>
  <si>
    <t xml:space="preserve">2024-05-16</t>
  </si>
  <si>
    <t xml:space="preserve">Mei Tanaka</t>
  </si>
  <si>
    <t xml:space="preserve">ORD-100368</t>
  </si>
  <si>
    <t xml:space="preserve">2023-12-12</t>
  </si>
  <si>
    <t xml:space="preserve">ORD-100216</t>
  </si>
  <si>
    <t xml:space="preserve">10/06/2023</t>
  </si>
  <si>
    <t xml:space="preserve">John Chen</t>
  </si>
  <si>
    <t xml:space="preserve">ORD-100534</t>
  </si>
  <si>
    <t xml:space="preserve">Aug 06, 2023</t>
  </si>
  <si>
    <t xml:space="preserve">ORD-100333</t>
  </si>
  <si>
    <t xml:space="preserve">04/04/2024</t>
  </si>
  <si>
    <t xml:space="preserve">07/04/2024</t>
  </si>
  <si>
    <t xml:space="preserve">ORD-100330</t>
  </si>
  <si>
    <t xml:space="preserve">07-09-2024</t>
  </si>
  <si>
    <t xml:space="preserve">10-09-2024</t>
  </si>
  <si>
    <t xml:space="preserve">Anaya Smith</t>
  </si>
  <si>
    <t xml:space="preserve">ORD-100147</t>
  </si>
  <si>
    <t xml:space="preserve">2024-10-23</t>
  </si>
  <si>
    <t xml:space="preserve">Diego Wang</t>
  </si>
  <si>
    <t xml:space="preserve">ORD-100014</t>
  </si>
  <si>
    <t xml:space="preserve">13-02-2023</t>
  </si>
  <si>
    <t xml:space="preserve">Sofia Khan</t>
  </si>
  <si>
    <t xml:space="preserve">ORD-100174</t>
  </si>
  <si>
    <t xml:space="preserve">Sep 23, 2024</t>
  </si>
  <si>
    <t xml:space="preserve">Sep 30, 2024</t>
  </si>
  <si>
    <t xml:space="preserve">ORD-100086</t>
  </si>
  <si>
    <t xml:space="preserve">2024-01-18</t>
  </si>
  <si>
    <t xml:space="preserve">Ivan Okafor</t>
  </si>
  <si>
    <t xml:space="preserve">ORD-100165</t>
  </si>
  <si>
    <t xml:space="preserve">2024-06-30</t>
  </si>
  <si>
    <t xml:space="preserve">2024-07-03</t>
  </si>
  <si>
    <t xml:space="preserve">olga smith</t>
  </si>
  <si>
    <t xml:space="preserve">ORD-100582</t>
  </si>
  <si>
    <t xml:space="preserve">Dec 19, 2023</t>
  </si>
  <si>
    <t xml:space="preserve">Dec 25, 2023</t>
  </si>
  <si>
    <t xml:space="preserve">  Maria Petrov  </t>
  </si>
  <si>
    <t xml:space="preserve">ORD-100059</t>
  </si>
  <si>
    <t xml:space="preserve">08/08/2023</t>
  </si>
  <si>
    <t xml:space="preserve">08/11/2023</t>
  </si>
  <si>
    <t xml:space="preserve">ORD-100575</t>
  </si>
  <si>
    <t xml:space="preserve">Apr 29, 2024</t>
  </si>
  <si>
    <t xml:space="preserve">May 03, 2024</t>
  </si>
  <si>
    <t xml:space="preserve">ORD-100164</t>
  </si>
  <si>
    <t xml:space="preserve">Nov 18, 2023</t>
  </si>
  <si>
    <t xml:space="preserve">Nov 24, 2023</t>
  </si>
  <si>
    <t xml:space="preserve">Nina Patel</t>
  </si>
  <si>
    <t xml:space="preserve">ORD-100344</t>
  </si>
  <si>
    <t xml:space="preserve">08/21/2024</t>
  </si>
  <si>
    <t xml:space="preserve">Grace Brown</t>
  </si>
  <si>
    <t xml:space="preserve">ORD-100292</t>
  </si>
  <si>
    <t xml:space="preserve">23-02-2024</t>
  </si>
  <si>
    <t xml:space="preserve">26-02-2024</t>
  </si>
  <si>
    <t xml:space="preserve">Priya Okafor</t>
  </si>
  <si>
    <t xml:space="preserve">ORD-100041</t>
  </si>
  <si>
    <t xml:space="preserve">11/08/2024</t>
  </si>
  <si>
    <t xml:space="preserve">14/08/2024</t>
  </si>
  <si>
    <t xml:space="preserve">Aisha Smith</t>
  </si>
  <si>
    <t xml:space="preserve">ORD-100533</t>
  </si>
  <si>
    <t xml:space="preserve">17-02-2023</t>
  </si>
  <si>
    <t xml:space="preserve">Mei Chen</t>
  </si>
  <si>
    <t xml:space="preserve">ORD-100079</t>
  </si>
  <si>
    <t xml:space="preserve">2024-12-08</t>
  </si>
  <si>
    <t xml:space="preserve">2024-12-10</t>
  </si>
  <si>
    <t xml:space="preserve">Maria Lee</t>
  </si>
  <si>
    <t xml:space="preserve">ORD-100422</t>
  </si>
  <si>
    <t xml:space="preserve">Aug 14, 2024</t>
  </si>
  <si>
    <t xml:space="preserve">Aug 18, 2024</t>
  </si>
  <si>
    <t xml:space="preserve">Arjun Fernandez</t>
  </si>
  <si>
    <t xml:space="preserve">ORD-100028</t>
  </si>
  <si>
    <t xml:space="preserve">11/10/2024</t>
  </si>
  <si>
    <t xml:space="preserve">11/15/2024</t>
  </si>
  <si>
    <t xml:space="preserve">ORD-100597</t>
  </si>
  <si>
    <t xml:space="preserve">May 03, 2023</t>
  </si>
  <si>
    <t xml:space="preserve">Kenji Patel</t>
  </si>
  <si>
    <t xml:space="preserve">ORD-100557</t>
  </si>
  <si>
    <t xml:space="preserve">2023-07-01</t>
  </si>
  <si>
    <t xml:space="preserve">  Liam Okafor  </t>
  </si>
  <si>
    <t xml:space="preserve">ORD-100505</t>
  </si>
  <si>
    <t xml:space="preserve">May 05, 2024</t>
  </si>
  <si>
    <t xml:space="preserve">ORD-100375</t>
  </si>
  <si>
    <t xml:space="preserve">08/17/2024</t>
  </si>
  <si>
    <t xml:space="preserve">08/24/2024</t>
  </si>
  <si>
    <t xml:space="preserve">Tom Ali</t>
  </si>
  <si>
    <t xml:space="preserve">ORD-100313</t>
  </si>
  <si>
    <t xml:space="preserve">Mar 16, 2024</t>
  </si>
  <si>
    <t xml:space="preserve">Mar 17, 2024</t>
  </si>
  <si>
    <t xml:space="preserve">Fatima Novak</t>
  </si>
  <si>
    <t xml:space="preserve">ORD-100084</t>
  </si>
  <si>
    <t xml:space="preserve">2023-10-30</t>
  </si>
  <si>
    <t xml:space="preserve">2023-11-04</t>
  </si>
  <si>
    <t xml:space="preserve">Raj Johnson</t>
  </si>
  <si>
    <t xml:space="preserve">ORD-100062</t>
  </si>
  <si>
    <t xml:space="preserve">29-05-2024</t>
  </si>
  <si>
    <t xml:space="preserve">Wei Wang</t>
  </si>
  <si>
    <t xml:space="preserve">ORD-100648</t>
  </si>
  <si>
    <t xml:space="preserve">2024-12-13</t>
  </si>
  <si>
    <t xml:space="preserve">2024-12-16</t>
  </si>
  <si>
    <t xml:space="preserve">Carlos Kim</t>
  </si>
  <si>
    <t xml:space="preserve">ORD-100136</t>
  </si>
  <si>
    <t xml:space="preserve">05/23/2024</t>
  </si>
  <si>
    <t xml:space="preserve">05/25/2024</t>
  </si>
  <si>
    <t xml:space="preserve">Wei Rossi</t>
  </si>
  <si>
    <t xml:space="preserve">ORD-100111</t>
  </si>
  <si>
    <t xml:space="preserve">Aug 19, 2023</t>
  </si>
  <si>
    <t xml:space="preserve">Aug 24, 2023</t>
  </si>
  <si>
    <t xml:space="preserve">ORD-100194</t>
  </si>
  <si>
    <t xml:space="preserve">06/17/2023</t>
  </si>
  <si>
    <t xml:space="preserve">06/18/2023</t>
  </si>
  <si>
    <t xml:space="preserve">Liam Okafor</t>
  </si>
  <si>
    <t xml:space="preserve">ORD-100463</t>
  </si>
  <si>
    <t xml:space="preserve">28-02-2023</t>
  </si>
  <si>
    <t xml:space="preserve">07-03-2023</t>
  </si>
  <si>
    <t xml:space="preserve">Diego Ali</t>
  </si>
  <si>
    <t xml:space="preserve">ORD-100043</t>
  </si>
  <si>
    <t xml:space="preserve">2023-04-28</t>
  </si>
  <si>
    <t xml:space="preserve">2023-05-02</t>
  </si>
  <si>
    <t xml:space="preserve">Carlos Rossi</t>
  </si>
  <si>
    <t xml:space="preserve">ORD-100457</t>
  </si>
  <si>
    <t xml:space="preserve">07/03/2024</t>
  </si>
  <si>
    <t xml:space="preserve">Ivan Chen</t>
  </si>
  <si>
    <t xml:space="preserve">ORD-100609</t>
  </si>
  <si>
    <t xml:space="preserve">ORD-100293</t>
  </si>
  <si>
    <t xml:space="preserve">13-11-2023</t>
  </si>
  <si>
    <t xml:space="preserve">Mei Khan</t>
  </si>
  <si>
    <t xml:space="preserve">ORD-100129</t>
  </si>
  <si>
    <t xml:space="preserve">May 25, 2023</t>
  </si>
  <si>
    <t xml:space="preserve">ORD-100599</t>
  </si>
  <si>
    <t xml:space="preserve">Amara Rossi</t>
  </si>
  <si>
    <t xml:space="preserve">ORD-100426</t>
  </si>
  <si>
    <t xml:space="preserve">06/08/2024</t>
  </si>
  <si>
    <t xml:space="preserve">06/15/2024</t>
  </si>
  <si>
    <t xml:space="preserve">Tom Wang</t>
  </si>
  <si>
    <t xml:space="preserve">ORD-100218</t>
  </si>
  <si>
    <t xml:space="preserve">Jun 17, 2024</t>
  </si>
  <si>
    <t xml:space="preserve">Arjun Rossi</t>
  </si>
  <si>
    <t xml:space="preserve">ORD-100096</t>
  </si>
  <si>
    <t xml:space="preserve">2023-03-11</t>
  </si>
  <si>
    <t xml:space="preserve">2023-03-17</t>
  </si>
  <si>
    <t xml:space="preserve">Raj Martin</t>
  </si>
  <si>
    <t xml:space="preserve">ORD-100124</t>
  </si>
  <si>
    <t xml:space="preserve">Aug 08, 2024</t>
  </si>
  <si>
    <t xml:space="preserve">Isabella Sharma</t>
  </si>
  <si>
    <t xml:space="preserve">ORD-100631</t>
  </si>
  <si>
    <t xml:space="preserve">2023-12-22</t>
  </si>
  <si>
    <t xml:space="preserve">Mei Okafor</t>
  </si>
  <si>
    <t xml:space="preserve">ORD-100226</t>
  </si>
  <si>
    <t xml:space="preserve">20/02/2023</t>
  </si>
  <si>
    <t xml:space="preserve">21/02/2023</t>
  </si>
  <si>
    <t xml:space="preserve">Emma Johnson</t>
  </si>
  <si>
    <t xml:space="preserve">ORD-100177</t>
  </si>
  <si>
    <t xml:space="preserve">Jan 10, 2024</t>
  </si>
  <si>
    <t xml:space="preserve">Maria Said</t>
  </si>
  <si>
    <t xml:space="preserve">ORD-100420</t>
  </si>
  <si>
    <t xml:space="preserve">09/30/2024</t>
  </si>
  <si>
    <t xml:space="preserve">10/05/2024</t>
  </si>
  <si>
    <t xml:space="preserve">kenji martin</t>
  </si>
  <si>
    <t xml:space="preserve">ORD-100643</t>
  </si>
  <si>
    <t xml:space="preserve">2023-07-06</t>
  </si>
  <si>
    <t xml:space="preserve">  John Petrov  </t>
  </si>
  <si>
    <t xml:space="preserve">ORD-100630</t>
  </si>
  <si>
    <t xml:space="preserve">05/17/2023</t>
  </si>
  <si>
    <t xml:space="preserve">05/19/2023</t>
  </si>
  <si>
    <t xml:space="preserve">Raj Petrov</t>
  </si>
  <si>
    <t xml:space="preserve">ORD-100103</t>
  </si>
  <si>
    <t xml:space="preserve">2023-12-14</t>
  </si>
  <si>
    <t xml:space="preserve">ORD-100081</t>
  </si>
  <si>
    <t xml:space="preserve">Dec 21, 2023</t>
  </si>
  <si>
    <t xml:space="preserve">ORD-100414</t>
  </si>
  <si>
    <t xml:space="preserve">16-03-2023</t>
  </si>
  <si>
    <t xml:space="preserve">18-03-2023</t>
  </si>
  <si>
    <t xml:space="preserve">ORD-100425</t>
  </si>
  <si>
    <t xml:space="preserve">18/11/2023</t>
  </si>
  <si>
    <t xml:space="preserve">24/11/2023</t>
  </si>
  <si>
    <t xml:space="preserve">ethan johnson</t>
  </si>
  <si>
    <t xml:space="preserve">ORD-100264</t>
  </si>
  <si>
    <t xml:space="preserve">17/08/2024</t>
  </si>
  <si>
    <t xml:space="preserve">24/08/2024</t>
  </si>
  <si>
    <t xml:space="preserve">Raj Rossi</t>
  </si>
  <si>
    <t xml:space="preserve">ORD-100371</t>
  </si>
  <si>
    <t xml:space="preserve">Oct 16, 2024</t>
  </si>
  <si>
    <t xml:space="preserve">ORD-100337</t>
  </si>
  <si>
    <t xml:space="preserve">2023-02-15</t>
  </si>
  <si>
    <t xml:space="preserve">2023-02-16</t>
  </si>
  <si>
    <t xml:space="preserve">ORD-100227</t>
  </si>
  <si>
    <t xml:space="preserve">2024-06-21</t>
  </si>
  <si>
    <t xml:space="preserve">2024-06-23</t>
  </si>
  <si>
    <t xml:space="preserve">ORD-100301</t>
  </si>
  <si>
    <t xml:space="preserve">Kenji Petrov</t>
  </si>
  <si>
    <t xml:space="preserve">ORD-100381</t>
  </si>
  <si>
    <t xml:space="preserve">10-10-2024</t>
  </si>
  <si>
    <t xml:space="preserve">16-10-2024</t>
  </si>
  <si>
    <t xml:space="preserve">Yuki Wang</t>
  </si>
  <si>
    <t xml:space="preserve">ORD-100275</t>
  </si>
  <si>
    <t xml:space="preserve">02/26/2024</t>
  </si>
  <si>
    <t xml:space="preserve">02/29/2024</t>
  </si>
  <si>
    <t xml:space="preserve">Emma Khan</t>
  </si>
  <si>
    <t xml:space="preserve">ORD-100459</t>
  </si>
  <si>
    <t xml:space="preserve">ORD-100263</t>
  </si>
  <si>
    <t xml:space="preserve">ORD-100592</t>
  </si>
  <si>
    <t xml:space="preserve">Sep 25, 2023</t>
  </si>
  <si>
    <t xml:space="preserve">Sep 27, 2023</t>
  </si>
  <si>
    <t xml:space="preserve">  Arjun Novak  </t>
  </si>
  <si>
    <t xml:space="preserve">ORD-100199</t>
  </si>
  <si>
    <t xml:space="preserve">Jan 18, 2024</t>
  </si>
  <si>
    <t xml:space="preserve">Jan 20, 2024</t>
  </si>
  <si>
    <t xml:space="preserve">Nina Petrov</t>
  </si>
  <si>
    <t xml:space="preserve">ORD-100253</t>
  </si>
  <si>
    <t xml:space="preserve">13/02/2023</t>
  </si>
  <si>
    <t xml:space="preserve">17/02/2023</t>
  </si>
  <si>
    <t xml:space="preserve">ORD-100171</t>
  </si>
  <si>
    <t xml:space="preserve">Jul 04, 2024</t>
  </si>
  <si>
    <t xml:space="preserve">Jul 11, 2024</t>
  </si>
  <si>
    <t xml:space="preserve">ORD-100237</t>
  </si>
  <si>
    <t xml:space="preserve">29/01/2024</t>
  </si>
  <si>
    <t xml:space="preserve">30/01/2024</t>
  </si>
  <si>
    <t xml:space="preserve">Anaya Said</t>
  </si>
  <si>
    <t xml:space="preserve">ORD-100546</t>
  </si>
  <si>
    <t xml:space="preserve">16-12-2023</t>
  </si>
  <si>
    <t xml:space="preserve">19-12-2023</t>
  </si>
  <si>
    <t xml:space="preserve">ORD-100139</t>
  </si>
  <si>
    <t xml:space="preserve">05/17/2024</t>
  </si>
  <si>
    <t xml:space="preserve">05/19/2024</t>
  </si>
  <si>
    <t xml:space="preserve">ORD-100303</t>
  </si>
  <si>
    <t xml:space="preserve">Aug 31, 2024</t>
  </si>
  <si>
    <t xml:space="preserve">Sep 06, 2024</t>
  </si>
  <si>
    <t xml:space="preserve">ORD-100267</t>
  </si>
  <si>
    <t xml:space="preserve">2024-12-29</t>
  </si>
  <si>
    <t xml:space="preserve">2025-01-03</t>
  </si>
  <si>
    <t xml:space="preserve">ORD-100322</t>
  </si>
  <si>
    <t xml:space="preserve">18/10/2023</t>
  </si>
  <si>
    <t xml:space="preserve">20/10/2023</t>
  </si>
  <si>
    <t xml:space="preserve">  Hassan Okafor  </t>
  </si>
  <si>
    <t xml:space="preserve">ORD-100601</t>
  </si>
  <si>
    <t xml:space="preserve">23-05-2023</t>
  </si>
  <si>
    <t xml:space="preserve">30-05-2023</t>
  </si>
  <si>
    <t xml:space="preserve">  Anaya Fernandez  </t>
  </si>
  <si>
    <t xml:space="preserve">ORD-100449</t>
  </si>
  <si>
    <t xml:space="preserve">09/04/2023</t>
  </si>
  <si>
    <t xml:space="preserve">Yuki Novak</t>
  </si>
  <si>
    <t xml:space="preserve">ORD-100212</t>
  </si>
  <si>
    <t xml:space="preserve">12-02-2023</t>
  </si>
  <si>
    <t xml:space="preserve">ORD-100198</t>
  </si>
  <si>
    <t xml:space="preserve">Kenji Ali</t>
  </si>
  <si>
    <t xml:space="preserve">ORD-100355</t>
  </si>
  <si>
    <t xml:space="preserve">16-07-2023</t>
  </si>
  <si>
    <t xml:space="preserve">22-07-2023</t>
  </si>
  <si>
    <t xml:space="preserve">ORD-100478</t>
  </si>
  <si>
    <t xml:space="preserve">2023-07-04</t>
  </si>
  <si>
    <t xml:space="preserve">2023-07-07</t>
  </si>
  <si>
    <t xml:space="preserve">ORD-100015</t>
  </si>
  <si>
    <t xml:space="preserve">27-01-2024</t>
  </si>
  <si>
    <t xml:space="preserve">ORD-100163</t>
  </si>
  <si>
    <t xml:space="preserve">01/07/2023</t>
  </si>
  <si>
    <t xml:space="preserve">Hassan Garcia</t>
  </si>
  <si>
    <t xml:space="preserve">ORD-100526</t>
  </si>
  <si>
    <t xml:space="preserve">29/12/2023</t>
  </si>
  <si>
    <t xml:space="preserve">05/01/2024</t>
  </si>
  <si>
    <t xml:space="preserve">ORD-100489</t>
  </si>
  <si>
    <t xml:space="preserve">12-03-2024</t>
  </si>
  <si>
    <t xml:space="preserve">17-03-2024</t>
  </si>
  <si>
    <t xml:space="preserve">Mei Lee</t>
  </si>
  <si>
    <t xml:space="preserve">ORD-100499</t>
  </si>
  <si>
    <t xml:space="preserve">2023-07-14</t>
  </si>
  <si>
    <t xml:space="preserve">kenji novak</t>
  </si>
  <si>
    <t xml:space="preserve">ORD-100342</t>
  </si>
  <si>
    <t xml:space="preserve">09/06/2024</t>
  </si>
  <si>
    <t xml:space="preserve">Raj Chen</t>
  </si>
  <si>
    <t xml:space="preserve">ORD-100037</t>
  </si>
  <si>
    <t xml:space="preserve">05/07/2024</t>
  </si>
  <si>
    <t xml:space="preserve">09/07/2024</t>
  </si>
  <si>
    <t xml:space="preserve">ORD-100569</t>
  </si>
  <si>
    <t xml:space="preserve">31/01/2024</t>
  </si>
  <si>
    <t xml:space="preserve">03/02/2024</t>
  </si>
  <si>
    <t xml:space="preserve">Diego Tanaka</t>
  </si>
  <si>
    <t xml:space="preserve">ORD-100206</t>
  </si>
  <si>
    <t xml:space="preserve">27/11/2023</t>
  </si>
  <si>
    <t xml:space="preserve">  Isabella Chen  </t>
  </si>
  <si>
    <t xml:space="preserve">ORD-100295</t>
  </si>
  <si>
    <t xml:space="preserve">2023-11-23</t>
  </si>
  <si>
    <t xml:space="preserve">ORD-100528</t>
  </si>
  <si>
    <t xml:space="preserve">Oct 19, 2024</t>
  </si>
  <si>
    <t xml:space="preserve">ORD-100073</t>
  </si>
  <si>
    <t xml:space="preserve">08-08-2024</t>
  </si>
  <si>
    <t xml:space="preserve">John Okafor</t>
  </si>
  <si>
    <t xml:space="preserve">ORD-100472</t>
  </si>
  <si>
    <t xml:space="preserve">24/10/2023</t>
  </si>
  <si>
    <t xml:space="preserve">31/10/2023</t>
  </si>
  <si>
    <t xml:space="preserve">ORD-100104</t>
  </si>
  <si>
    <t xml:space="preserve">24/07/2023</t>
  </si>
  <si>
    <t xml:space="preserve">29/07/2023</t>
  </si>
  <si>
    <t xml:space="preserve">  Emma Novak  </t>
  </si>
  <si>
    <t xml:space="preserve">ORD-100487</t>
  </si>
  <si>
    <t xml:space="preserve">2023-05-01</t>
  </si>
  <si>
    <t xml:space="preserve">2023-05-05</t>
  </si>
  <si>
    <t xml:space="preserve">Hassan Kim</t>
  </si>
  <si>
    <t xml:space="preserve">ORD-100431</t>
  </si>
  <si>
    <t xml:space="preserve">13/03/2023</t>
  </si>
  <si>
    <t xml:space="preserve">17/03/2023</t>
  </si>
  <si>
    <t xml:space="preserve">ORD-100016</t>
  </si>
  <si>
    <t xml:space="preserve">Nov 26, 2024</t>
  </si>
  <si>
    <t xml:space="preserve">Dec 03, 2024</t>
  </si>
  <si>
    <t xml:space="preserve">John Khan</t>
  </si>
  <si>
    <t xml:space="preserve">ORD-100091</t>
  </si>
  <si>
    <t xml:space="preserve">04/03/2023</t>
  </si>
  <si>
    <t xml:space="preserve">09/03/2023</t>
  </si>
  <si>
    <t xml:space="preserve">ORD-100088</t>
  </si>
  <si>
    <t xml:space="preserve">Apr 28, 2024</t>
  </si>
  <si>
    <t xml:space="preserve">ORD-100503</t>
  </si>
  <si>
    <t xml:space="preserve">Carlos Okafor</t>
  </si>
  <si>
    <t xml:space="preserve">ORD-100396</t>
  </si>
  <si>
    <t xml:space="preserve">2024-02-15</t>
  </si>
  <si>
    <t xml:space="preserve">2024-02-20</t>
  </si>
  <si>
    <t xml:space="preserve">Emma Smith</t>
  </si>
  <si>
    <t xml:space="preserve">ORD-100205</t>
  </si>
  <si>
    <t xml:space="preserve">04/08/2024</t>
  </si>
  <si>
    <t xml:space="preserve">ORD-100102</t>
  </si>
  <si>
    <t xml:space="preserve">2023-09-06</t>
  </si>
  <si>
    <t xml:space="preserve">2023-09-11</t>
  </si>
  <si>
    <t xml:space="preserve">Isabella Fernandez</t>
  </si>
  <si>
    <t xml:space="preserve">ORD-100238</t>
  </si>
  <si>
    <t xml:space="preserve">02-12-2024</t>
  </si>
  <si>
    <t xml:space="preserve">09-12-2024</t>
  </si>
  <si>
    <t xml:space="preserve">Anaya Fernandez</t>
  </si>
  <si>
    <t xml:space="preserve">ORD-100458</t>
  </si>
  <si>
    <t xml:space="preserve">19-01-2023</t>
  </si>
  <si>
    <t xml:space="preserve">24-01-2023</t>
  </si>
  <si>
    <t xml:space="preserve">ORD-100246</t>
  </si>
  <si>
    <t xml:space="preserve">06/29/2024</t>
  </si>
  <si>
    <t xml:space="preserve">07/01/2024</t>
  </si>
  <si>
    <t xml:space="preserve">Yuki Fernandez</t>
  </si>
  <si>
    <t xml:space="preserve">ORD-100504</t>
  </si>
  <si>
    <t xml:space="preserve">09/12/2024</t>
  </si>
  <si>
    <t xml:space="preserve">tom fernandez</t>
  </si>
  <si>
    <t xml:space="preserve">ORD-100157</t>
  </si>
  <si>
    <t xml:space="preserve">01/17/2024</t>
  </si>
  <si>
    <t xml:space="preserve">01/24/2024</t>
  </si>
  <si>
    <t xml:space="preserve">Fatima Fernandez</t>
  </si>
  <si>
    <t xml:space="preserve">ORD-100326</t>
  </si>
  <si>
    <t xml:space="preserve">Sep 22, 2023</t>
  </si>
  <si>
    <t xml:space="preserve">  Zara Khan  </t>
  </si>
  <si>
    <t xml:space="preserve">ORD-100133</t>
  </si>
  <si>
    <t xml:space="preserve">03/01/2024</t>
  </si>
  <si>
    <t xml:space="preserve">08/01/2024</t>
  </si>
  <si>
    <t xml:space="preserve">ORD-100632</t>
  </si>
  <si>
    <t xml:space="preserve">25-05-2024</t>
  </si>
  <si>
    <t xml:space="preserve">Priya Said</t>
  </si>
  <si>
    <t xml:space="preserve">ORD-100510</t>
  </si>
  <si>
    <t xml:space="preserve">Jul 26, 2024</t>
  </si>
  <si>
    <t xml:space="preserve">Noah Wang</t>
  </si>
  <si>
    <t xml:space="preserve">ORD-100359</t>
  </si>
  <si>
    <t xml:space="preserve">25-02-2023</t>
  </si>
  <si>
    <t xml:space="preserve">03-03-2023</t>
  </si>
  <si>
    <t xml:space="preserve">Ethan Rossi</t>
  </si>
  <si>
    <t xml:space="preserve">ORD-100018</t>
  </si>
  <si>
    <t xml:space="preserve">13-09-2024</t>
  </si>
  <si>
    <t xml:space="preserve">19-09-2024</t>
  </si>
  <si>
    <t xml:space="preserve">ORD-100424</t>
  </si>
  <si>
    <t xml:space="preserve">04-10-2024</t>
  </si>
  <si>
    <t xml:space="preserve">05-10-2024</t>
  </si>
  <si>
    <t xml:space="preserve">ORD-100121</t>
  </si>
  <si>
    <t xml:space="preserve">22/03/2023</t>
  </si>
  <si>
    <t xml:space="preserve">27/03/2023</t>
  </si>
  <si>
    <t xml:space="preserve">Ethan Garcia</t>
  </si>
  <si>
    <t xml:space="preserve">ORD-100149</t>
  </si>
  <si>
    <t xml:space="preserve">2023-08-16</t>
  </si>
  <si>
    <t xml:space="preserve">2023-08-22</t>
  </si>
  <si>
    <t xml:space="preserve">Ethan Okafor</t>
  </si>
  <si>
    <t xml:space="preserve">ORD-100423</t>
  </si>
  <si>
    <t xml:space="preserve">2024-08-30</t>
  </si>
  <si>
    <t xml:space="preserve">2024-09-01</t>
  </si>
  <si>
    <t xml:space="preserve">ORD-100274</t>
  </si>
  <si>
    <t xml:space="preserve">2023-02-22</t>
  </si>
  <si>
    <t xml:space="preserve">Arjun Chen</t>
  </si>
  <si>
    <t xml:space="preserve">ORD-100299</t>
  </si>
  <si>
    <t xml:space="preserve">18-09-2024</t>
  </si>
  <si>
    <t xml:space="preserve">  Grace Sharma  </t>
  </si>
  <si>
    <t xml:space="preserve">ORD-100593</t>
  </si>
  <si>
    <t xml:space="preserve">24-07-2023</t>
  </si>
  <si>
    <t xml:space="preserve">29-07-2023</t>
  </si>
  <si>
    <t xml:space="preserve">ORD-100311</t>
  </si>
  <si>
    <t xml:space="preserve">ORD-100491</t>
  </si>
  <si>
    <t xml:space="preserve">08-08-2023</t>
  </si>
  <si>
    <t xml:space="preserve">Anaya Kim</t>
  </si>
  <si>
    <t xml:space="preserve">ORD-100553</t>
  </si>
  <si>
    <t xml:space="preserve">06/20/2024</t>
  </si>
  <si>
    <t xml:space="preserve">Omar Fernandez</t>
  </si>
  <si>
    <t xml:space="preserve">ORD-100268</t>
  </si>
  <si>
    <t xml:space="preserve">May 26, 2024</t>
  </si>
  <si>
    <t xml:space="preserve">Jun 02, 2024</t>
  </si>
  <si>
    <t xml:space="preserve">Kenji Brown</t>
  </si>
  <si>
    <t xml:space="preserve">ORD-100034</t>
  </si>
  <si>
    <t xml:space="preserve">04/18/2023</t>
  </si>
  <si>
    <t xml:space="preserve">04/25/2023</t>
  </si>
  <si>
    <t xml:space="preserve">Olga Okafor</t>
  </si>
  <si>
    <t xml:space="preserve">ORD-100181</t>
  </si>
  <si>
    <t xml:space="preserve">09/07/2023</t>
  </si>
  <si>
    <t xml:space="preserve">Grace Said</t>
  </si>
  <si>
    <t xml:space="preserve">ORD-100184</t>
  </si>
  <si>
    <t xml:space="preserve">2024-12-27</t>
  </si>
  <si>
    <t xml:space="preserve">2025-01-02</t>
  </si>
  <si>
    <t xml:space="preserve">omar martin</t>
  </si>
  <si>
    <t xml:space="preserve">ORD-100406</t>
  </si>
  <si>
    <t xml:space="preserve">12/21/2024</t>
  </si>
  <si>
    <t xml:space="preserve">John Petrov</t>
  </si>
  <si>
    <t xml:space="preserve">ORD-100207</t>
  </si>
  <si>
    <t xml:space="preserve">Nov 02, 2024</t>
  </si>
  <si>
    <t xml:space="preserve">Nov 06, 2024</t>
  </si>
  <si>
    <t xml:space="preserve">ORD-100430</t>
  </si>
  <si>
    <t xml:space="preserve">05/26/2024</t>
  </si>
  <si>
    <t xml:space="preserve">Olga Khan</t>
  </si>
  <si>
    <t xml:space="preserve">ORD-100094</t>
  </si>
  <si>
    <t xml:space="preserve">Apr 22, 2024</t>
  </si>
  <si>
    <t xml:space="preserve">Apr 23, 2024</t>
  </si>
  <si>
    <t xml:space="preserve">ORD-100573</t>
  </si>
  <si>
    <t xml:space="preserve">2023-11-20</t>
  </si>
  <si>
    <t xml:space="preserve">Grace Martin</t>
  </si>
  <si>
    <t xml:space="preserve">ORD-100511</t>
  </si>
  <si>
    <t xml:space="preserve">07-04-2024</t>
  </si>
  <si>
    <t xml:space="preserve">13-04-2024</t>
  </si>
  <si>
    <t xml:space="preserve">ORD-100353</t>
  </si>
  <si>
    <t xml:space="preserve">15-07-2024</t>
  </si>
  <si>
    <t xml:space="preserve">21-07-2024</t>
  </si>
  <si>
    <t xml:space="preserve">Kenji Garcia</t>
  </si>
  <si>
    <t xml:space="preserve">ORD-100380</t>
  </si>
  <si>
    <t xml:space="preserve">26-05-2023</t>
  </si>
  <si>
    <t xml:space="preserve">29-05-2023</t>
  </si>
  <si>
    <t xml:space="preserve">ORD-100410</t>
  </si>
  <si>
    <t xml:space="preserve">Oct 17, 2023</t>
  </si>
  <si>
    <t xml:space="preserve">Oct 21, 2023</t>
  </si>
  <si>
    <t xml:space="preserve">Noah Fernandez</t>
  </si>
  <si>
    <t xml:space="preserve">ORD-100122</t>
  </si>
  <si>
    <t xml:space="preserve">Ethan Kim</t>
  </si>
  <si>
    <t xml:space="preserve">ORD-100369</t>
  </si>
  <si>
    <t xml:space="preserve">11/30/2023</t>
  </si>
  <si>
    <t xml:space="preserve">12/06/2023</t>
  </si>
  <si>
    <t xml:space="preserve">Grace Okafor</t>
  </si>
  <si>
    <t xml:space="preserve">ORD-100539</t>
  </si>
  <si>
    <t xml:space="preserve">09/20/2024</t>
  </si>
  <si>
    <t xml:space="preserve">09/26/2024</t>
  </si>
  <si>
    <t xml:space="preserve">Amara Okafor</t>
  </si>
  <si>
    <t xml:space="preserve">ORD-100543</t>
  </si>
  <si>
    <t xml:space="preserve">01/18/2023</t>
  </si>
  <si>
    <t xml:space="preserve">01/20/2023</t>
  </si>
  <si>
    <t xml:space="preserve">ORD-100484</t>
  </si>
  <si>
    <t xml:space="preserve">07/13/2024</t>
  </si>
  <si>
    <t xml:space="preserve">07/19/2024</t>
  </si>
  <si>
    <t xml:space="preserve">Sofia Said</t>
  </si>
  <si>
    <t xml:space="preserve">ORD-100364</t>
  </si>
  <si>
    <t xml:space="preserve">18/02/2024</t>
  </si>
  <si>
    <t xml:space="preserve">ORD-100078</t>
  </si>
  <si>
    <t xml:space="preserve">12/11/2023</t>
  </si>
  <si>
    <t xml:space="preserve">19/11/2023</t>
  </si>
  <si>
    <t xml:space="preserve">ORD-100350</t>
  </si>
  <si>
    <t xml:space="preserve">2024-02-18</t>
  </si>
  <si>
    <t xml:space="preserve">ORD-100061</t>
  </si>
  <si>
    <t xml:space="preserve">31-07-2023</t>
  </si>
  <si>
    <t xml:space="preserve">  Tom Kim  </t>
  </si>
  <si>
    <t xml:space="preserve">ORD-100251</t>
  </si>
  <si>
    <t xml:space="preserve">Mar 13, 2023</t>
  </si>
  <si>
    <t xml:space="preserve">Mar 18, 2023</t>
  </si>
  <si>
    <t xml:space="preserve">ORD-100125</t>
  </si>
  <si>
    <t xml:space="preserve">20/07/2023</t>
  </si>
  <si>
    <t xml:space="preserve">26/07/2023</t>
  </si>
  <si>
    <t xml:space="preserve">Maria Rossi</t>
  </si>
  <si>
    <t xml:space="preserve">ORD-100560</t>
  </si>
  <si>
    <t xml:space="preserve">2024-05-19</t>
  </si>
  <si>
    <t xml:space="preserve">  Priya Wang  </t>
  </si>
  <si>
    <t xml:space="preserve">ORD-100527</t>
  </si>
  <si>
    <t xml:space="preserve">27/01/2024</t>
  </si>
  <si>
    <t xml:space="preserve">Hassan Patel</t>
  </si>
  <si>
    <t xml:space="preserve">ORD-100579</t>
  </si>
  <si>
    <t xml:space="preserve">07/06/2023</t>
  </si>
  <si>
    <t xml:space="preserve">maria chen</t>
  </si>
  <si>
    <t xml:space="preserve">ORD-100347</t>
  </si>
  <si>
    <t xml:space="preserve">26-05-2024</t>
  </si>
  <si>
    <t xml:space="preserve">ORD-100635</t>
  </si>
  <si>
    <t xml:space="preserve">11-01-2024</t>
  </si>
  <si>
    <t xml:space="preserve">17-01-2024</t>
  </si>
  <si>
    <t xml:space="preserve">Anaya Wang</t>
  </si>
  <si>
    <t xml:space="preserve">ORD-100608</t>
  </si>
  <si>
    <t xml:space="preserve">04/03/2024</t>
  </si>
  <si>
    <t xml:space="preserve">08/03/2024</t>
  </si>
  <si>
    <t xml:space="preserve">ORD-100416</t>
  </si>
  <si>
    <t xml:space="preserve">02-11-2023</t>
  </si>
  <si>
    <t xml:space="preserve">09-11-2023</t>
  </si>
  <si>
    <t xml:space="preserve">Tom Petrov</t>
  </si>
  <si>
    <t xml:space="preserve">ORD-100471</t>
  </si>
  <si>
    <t xml:space="preserve">2023-02-04</t>
  </si>
  <si>
    <t xml:space="preserve">2023-02-11</t>
  </si>
  <si>
    <t xml:space="preserve">ORD-100619</t>
  </si>
  <si>
    <t xml:space="preserve">Nov 18, 2024</t>
  </si>
  <si>
    <t xml:space="preserve">Tom Lee</t>
  </si>
  <si>
    <t xml:space="preserve">ORD-100067</t>
  </si>
  <si>
    <t xml:space="preserve">16/04/2023</t>
  </si>
  <si>
    <t xml:space="preserve">17/04/2023</t>
  </si>
  <si>
    <t xml:space="preserve">ORD-100024</t>
  </si>
  <si>
    <t xml:space="preserve">25/12/2023</t>
  </si>
  <si>
    <t xml:space="preserve">27/12/2023</t>
  </si>
  <si>
    <t xml:space="preserve">ORD-100077</t>
  </si>
  <si>
    <t xml:space="preserve">Dec 08, 2023</t>
  </si>
  <si>
    <t xml:space="preserve">Dec 15, 2023</t>
  </si>
  <si>
    <t xml:space="preserve">ORD-100105</t>
  </si>
  <si>
    <t xml:space="preserve">2024-05-05</t>
  </si>
  <si>
    <t xml:space="preserve">2024-05-10</t>
  </si>
  <si>
    <t xml:space="preserve">Lucas Petrov</t>
  </si>
  <si>
    <t xml:space="preserve">ORD-100446</t>
  </si>
  <si>
    <t xml:space="preserve">Sep 21, 2024</t>
  </si>
  <si>
    <t xml:space="preserve">Sep 24, 2024</t>
  </si>
  <si>
    <t xml:space="preserve">Omar Martin</t>
  </si>
  <si>
    <t xml:space="preserve">ORD-100126</t>
  </si>
  <si>
    <t xml:space="preserve">05/26/2023</t>
  </si>
  <si>
    <t xml:space="preserve">06/01/2023</t>
  </si>
  <si>
    <t xml:space="preserve">ORD-100598</t>
  </si>
  <si>
    <t xml:space="preserve">2023-02-08</t>
  </si>
  <si>
    <t xml:space="preserve">kenji petrov</t>
  </si>
  <si>
    <t xml:space="preserve">ORD-100334</t>
  </si>
  <si>
    <t xml:space="preserve">01/25/2023</t>
  </si>
  <si>
    <t xml:space="preserve">Ivan Brown</t>
  </si>
  <si>
    <t xml:space="preserve">ORD-100562</t>
  </si>
  <si>
    <t xml:space="preserve">Feb 19, 2023</t>
  </si>
  <si>
    <t xml:space="preserve">Feb 24, 2023</t>
  </si>
  <si>
    <t xml:space="preserve">ORD-100178</t>
  </si>
  <si>
    <t xml:space="preserve">01/03/2024</t>
  </si>
  <si>
    <t xml:space="preserve">  Amara Rossi  </t>
  </si>
  <si>
    <t xml:space="preserve">ORD-100314</t>
  </si>
  <si>
    <t xml:space="preserve">2024-06-03</t>
  </si>
  <si>
    <t xml:space="preserve">2024-06-04</t>
  </si>
  <si>
    <t xml:space="preserve">ORD-100617</t>
  </si>
  <si>
    <t xml:space="preserve">2023-04-21</t>
  </si>
  <si>
    <t xml:space="preserve">2023-04-26</t>
  </si>
  <si>
    <t xml:space="preserve">Carlos Khan</t>
  </si>
  <si>
    <t xml:space="preserve">ORD-100135</t>
  </si>
  <si>
    <t xml:space="preserve">30-03-2024</t>
  </si>
  <si>
    <t xml:space="preserve">ORD-100223</t>
  </si>
  <si>
    <t xml:space="preserve">Omar Patel</t>
  </si>
  <si>
    <t xml:space="preserve">ORD-100514</t>
  </si>
  <si>
    <t xml:space="preserve">John Lee</t>
  </si>
  <si>
    <t xml:space="preserve">ORD-100620</t>
  </si>
  <si>
    <t xml:space="preserve">2024-06-08</t>
  </si>
  <si>
    <t xml:space="preserve">Kenji Lee</t>
  </si>
  <si>
    <t xml:space="preserve">ORD-100558</t>
  </si>
  <si>
    <t xml:space="preserve">10-11-2023</t>
  </si>
  <si>
    <t xml:space="preserve">11-11-2023</t>
  </si>
  <si>
    <t xml:space="preserve">Omar Said</t>
  </si>
  <si>
    <t xml:space="preserve">ORD-100093</t>
  </si>
  <si>
    <t xml:space="preserve">07-12-2023</t>
  </si>
  <si>
    <t xml:space="preserve">10-12-2023</t>
  </si>
  <si>
    <t xml:space="preserve">John Patel</t>
  </si>
  <si>
    <t xml:space="preserve">ORD-100363</t>
  </si>
  <si>
    <t xml:space="preserve">14/12/2024</t>
  </si>
  <si>
    <t xml:space="preserve">15/12/2024</t>
  </si>
  <si>
    <t xml:space="preserve">ORD-100412</t>
  </si>
  <si>
    <t xml:space="preserve">31/03/2023</t>
  </si>
  <si>
    <t xml:space="preserve">Noah Johnson</t>
  </si>
  <si>
    <t xml:space="preserve">ORD-100069</t>
  </si>
  <si>
    <t xml:space="preserve">07/10/2023</t>
  </si>
  <si>
    <t xml:space="preserve">07/14/2023</t>
  </si>
  <si>
    <t xml:space="preserve">Ivan Novak</t>
  </si>
  <si>
    <t xml:space="preserve">ORD-100036</t>
  </si>
  <si>
    <t xml:space="preserve">ORD-100296</t>
  </si>
  <si>
    <t xml:space="preserve">07-08-2024</t>
  </si>
  <si>
    <t xml:space="preserve">09-08-2024</t>
  </si>
  <si>
    <t xml:space="preserve">ORD-100160</t>
  </si>
  <si>
    <t xml:space="preserve">Aug 09, 2024</t>
  </si>
  <si>
    <t xml:space="preserve">Aug 13, 2024</t>
  </si>
  <si>
    <t xml:space="preserve">ORD-100362</t>
  </si>
  <si>
    <t xml:space="preserve">19/01/2024</t>
  </si>
  <si>
    <t xml:space="preserve">23/01/2024</t>
  </si>
  <si>
    <t xml:space="preserve">Olga Fernandez</t>
  </si>
  <si>
    <t xml:space="preserve">ORD-100011</t>
  </si>
  <si>
    <t xml:space="preserve">11/16/2024</t>
  </si>
  <si>
    <t xml:space="preserve">11/22/2024</t>
  </si>
  <si>
    <t xml:space="preserve">Liam Fernandez</t>
  </si>
  <si>
    <t xml:space="preserve">ORD-100144</t>
  </si>
  <si>
    <t xml:space="preserve">2023-05-21</t>
  </si>
  <si>
    <t xml:space="preserve">ORD-100405</t>
  </si>
  <si>
    <t xml:space="preserve">11-12-2024</t>
  </si>
  <si>
    <t xml:space="preserve">18-12-2024</t>
  </si>
  <si>
    <t xml:space="preserve">yuki chen</t>
  </si>
  <si>
    <t xml:space="preserve">ORD-100559</t>
  </si>
  <si>
    <t xml:space="preserve">May 04, 2023</t>
  </si>
  <si>
    <t xml:space="preserve">May 11, 2023</t>
  </si>
  <si>
    <t xml:space="preserve">Ivan Ali</t>
  </si>
  <si>
    <t xml:space="preserve">ORD-100427</t>
  </si>
  <si>
    <t xml:space="preserve">2024-12-11</t>
  </si>
  <si>
    <t xml:space="preserve">ORD-100127</t>
  </si>
  <si>
    <t xml:space="preserve">18/12/2024</t>
  </si>
  <si>
    <t xml:space="preserve">25/12/2024</t>
  </si>
  <si>
    <t xml:space="preserve">Noah Tanaka</t>
  </si>
  <si>
    <t xml:space="preserve">ORD-100493</t>
  </si>
  <si>
    <t xml:space="preserve">10/25/2024</t>
  </si>
  <si>
    <t xml:space="preserve">11/01/2024</t>
  </si>
  <si>
    <t xml:space="preserve">Fatima Sharma</t>
  </si>
  <si>
    <t xml:space="preserve">ORD-100482</t>
  </si>
  <si>
    <t xml:space="preserve">Oct 08, 2024</t>
  </si>
  <si>
    <t xml:space="preserve">Oct 15, 2024</t>
  </si>
  <si>
    <t xml:space="preserve">Priya Kim</t>
  </si>
  <si>
    <t xml:space="preserve">ORD-100440</t>
  </si>
  <si>
    <t xml:space="preserve">12/07/2024</t>
  </si>
  <si>
    <t xml:space="preserve">ORD-100302</t>
  </si>
  <si>
    <t xml:space="preserve">08/22/2024</t>
  </si>
  <si>
    <t xml:space="preserve">John Martin</t>
  </si>
  <si>
    <t xml:space="preserve">ORD-100009</t>
  </si>
  <si>
    <t xml:space="preserve">16/01/2023</t>
  </si>
  <si>
    <t xml:space="preserve">17/01/2023</t>
  </si>
  <si>
    <t xml:space="preserve">Tom Rossi</t>
  </si>
  <si>
    <t xml:space="preserve">ORD-100577</t>
  </si>
  <si>
    <t xml:space="preserve">Dec 18, 2024</t>
  </si>
  <si>
    <t xml:space="preserve">  Olga Brown  </t>
  </si>
  <si>
    <t xml:space="preserve">ORD-100621</t>
  </si>
  <si>
    <t xml:space="preserve">07-09-2023</t>
  </si>
  <si>
    <t xml:space="preserve">13-09-2023</t>
  </si>
  <si>
    <t xml:space="preserve">ORD-100176</t>
  </si>
  <si>
    <t xml:space="preserve">Jul 18, 2024</t>
  </si>
  <si>
    <t xml:space="preserve">Jul 19, 2024</t>
  </si>
  <si>
    <t xml:space="preserve">Grace Chen</t>
  </si>
  <si>
    <t xml:space="preserve">ORD-100492</t>
  </si>
  <si>
    <t xml:space="preserve">11/01/2023</t>
  </si>
  <si>
    <t xml:space="preserve">13/01/2023</t>
  </si>
  <si>
    <t xml:space="preserve">  Lucas Patel  </t>
  </si>
  <si>
    <t xml:space="preserve">ORD-100231</t>
  </si>
  <si>
    <t xml:space="preserve">11-07-2023</t>
  </si>
  <si>
    <t xml:space="preserve">Ethan Ali</t>
  </si>
  <si>
    <t xml:space="preserve">ORD-100210</t>
  </si>
  <si>
    <t xml:space="preserve">07-01-2023</t>
  </si>
  <si>
    <t xml:space="preserve">10-01-2023</t>
  </si>
  <si>
    <t xml:space="preserve">  Raj Brown  </t>
  </si>
  <si>
    <t xml:space="preserve">ORD-100128</t>
  </si>
  <si>
    <t xml:space="preserve">2024-12-03</t>
  </si>
  <si>
    <t xml:space="preserve">2024-12-06</t>
  </si>
  <si>
    <t xml:space="preserve">  Yuki Lee  </t>
  </si>
  <si>
    <t xml:space="preserve">ORD-100143</t>
  </si>
  <si>
    <t xml:space="preserve">2024-05-12</t>
  </si>
  <si>
    <t xml:space="preserve">Priya Johnson</t>
  </si>
  <si>
    <t xml:space="preserve">ORD-100241</t>
  </si>
  <si>
    <t xml:space="preserve">28-03-2023</t>
  </si>
  <si>
    <t xml:space="preserve">30-03-2023</t>
  </si>
  <si>
    <t xml:space="preserve">ORD-100007</t>
  </si>
  <si>
    <t xml:space="preserve">25-08-2024</t>
  </si>
  <si>
    <t xml:space="preserve">30-08-2024</t>
  </si>
  <si>
    <t xml:space="preserve">  Sofia Smith  </t>
  </si>
  <si>
    <t xml:space="preserve">ORD-100298</t>
  </si>
  <si>
    <t xml:space="preserve">28/09/2024</t>
  </si>
  <si>
    <t xml:space="preserve">Mei Said</t>
  </si>
  <si>
    <t xml:space="preserve">ORD-100310</t>
  </si>
  <si>
    <t xml:space="preserve">18/03/2024</t>
  </si>
  <si>
    <t xml:space="preserve">22/03/2024</t>
  </si>
  <si>
    <t xml:space="preserve">Hassan Said</t>
  </si>
  <si>
    <t xml:space="preserve">ORD-100435</t>
  </si>
  <si>
    <t xml:space="preserve">01/30/2024</t>
  </si>
  <si>
    <t xml:space="preserve">ORD-100254</t>
  </si>
  <si>
    <t xml:space="preserve">12/04/2024</t>
  </si>
  <si>
    <t xml:space="preserve">17/04/2024</t>
  </si>
  <si>
    <t xml:space="preserve">ORD-100428</t>
  </si>
  <si>
    <t xml:space="preserve">03/11/2023</t>
  </si>
  <si>
    <t xml:space="preserve">ORD-100473</t>
  </si>
  <si>
    <t xml:space="preserve">2024-06-26</t>
  </si>
  <si>
    <t xml:space="preserve">ORD-100574</t>
  </si>
  <si>
    <t xml:space="preserve">20/08/2024</t>
  </si>
  <si>
    <t xml:space="preserve">27/08/2024</t>
  </si>
  <si>
    <t xml:space="preserve">ORD-100611</t>
  </si>
  <si>
    <t xml:space="preserve">Feb 28, 2024</t>
  </si>
  <si>
    <t xml:space="preserve">Sofia Kim</t>
  </si>
  <si>
    <t xml:space="preserve">ORD-100545</t>
  </si>
  <si>
    <t xml:space="preserve">2023-03-14</t>
  </si>
  <si>
    <t xml:space="preserve">2023-03-16</t>
  </si>
  <si>
    <t xml:space="preserve">Liam Garcia</t>
  </si>
  <si>
    <t xml:space="preserve">ORD-100008</t>
  </si>
  <si>
    <t xml:space="preserve">Hassan Sharma</t>
  </si>
  <si>
    <t xml:space="preserve">ORD-100156</t>
  </si>
  <si>
    <t xml:space="preserve">08/25/2023</t>
  </si>
  <si>
    <t xml:space="preserve">Aisha Kim</t>
  </si>
  <si>
    <t xml:space="preserve">ORD-100506</t>
  </si>
  <si>
    <t xml:space="preserve">04/19/2024</t>
  </si>
  <si>
    <t xml:space="preserve">Grace Wang</t>
  </si>
  <si>
    <t xml:space="preserve">ORD-100436</t>
  </si>
  <si>
    <t xml:space="preserve">30/12/2023</t>
  </si>
  <si>
    <t xml:space="preserve">Nina Chen</t>
  </si>
  <si>
    <t xml:space="preserve">ORD-100266</t>
  </si>
  <si>
    <t xml:space="preserve">22/10/2024</t>
  </si>
  <si>
    <t xml:space="preserve">25/10/2024</t>
  </si>
  <si>
    <t xml:space="preserve">Noah Brown</t>
  </si>
  <si>
    <t xml:space="preserve">ORD-100461</t>
  </si>
  <si>
    <t xml:space="preserve">17/06/2024</t>
  </si>
  <si>
    <t xml:space="preserve">ORD-100338</t>
  </si>
  <si>
    <t xml:space="preserve">2023-07-25</t>
  </si>
  <si>
    <t xml:space="preserve">2023-07-31</t>
  </si>
  <si>
    <t xml:space="preserve">Ethan Chen</t>
  </si>
  <si>
    <t xml:space="preserve">ORD-100255</t>
  </si>
  <si>
    <t xml:space="preserve">25/05/2023</t>
  </si>
  <si>
    <t xml:space="preserve">ORD-100536</t>
  </si>
  <si>
    <t xml:space="preserve">ORD-100564</t>
  </si>
  <si>
    <t xml:space="preserve">Olga Said</t>
  </si>
  <si>
    <t xml:space="preserve">ORD-100208</t>
  </si>
  <si>
    <t xml:space="preserve">06/28/2024</t>
  </si>
  <si>
    <t xml:space="preserve">07/02/2024</t>
  </si>
  <si>
    <t xml:space="preserve">Lucas Rossi</t>
  </si>
  <si>
    <t xml:space="preserve">ORD-100287</t>
  </si>
  <si>
    <t xml:space="preserve">2023-03-19</t>
  </si>
  <si>
    <t xml:space="preserve">2023-03-26</t>
  </si>
  <si>
    <t xml:space="preserve">Raj Ali</t>
  </si>
  <si>
    <t xml:space="preserve">ORD-100001</t>
  </si>
  <si>
    <t xml:space="preserve">Dec 11, 2023</t>
  </si>
  <si>
    <t xml:space="preserve">Dec 12, 2023</t>
  </si>
  <si>
    <t xml:space="preserve">Fatima Wang</t>
  </si>
  <si>
    <t xml:space="preserve">ORD-100341</t>
  </si>
  <si>
    <t xml:space="preserve">02-05-2023</t>
  </si>
  <si>
    <t xml:space="preserve">04-05-2023</t>
  </si>
  <si>
    <t xml:space="preserve">Carlos Patel</t>
  </si>
  <si>
    <t xml:space="preserve">ORD-100269</t>
  </si>
  <si>
    <t xml:space="preserve">ORD-100265</t>
  </si>
  <si>
    <t xml:space="preserve">23/10/2023</t>
  </si>
  <si>
    <t xml:space="preserve">ORD-100541</t>
  </si>
  <si>
    <t xml:space="preserve">ORD-100544</t>
  </si>
  <si>
    <t xml:space="preserve">07-03-2024</t>
  </si>
  <si>
    <t xml:space="preserve">11-03-2024</t>
  </si>
  <si>
    <t xml:space="preserve">  Carlos Ali  </t>
  </si>
  <si>
    <t xml:space="preserve">ORD-100095</t>
  </si>
  <si>
    <t xml:space="preserve">Sep 09, 2023</t>
  </si>
  <si>
    <t xml:space="preserve">Sep 13, 2023</t>
  </si>
  <si>
    <t xml:space="preserve">Isabella Brown</t>
  </si>
  <si>
    <t xml:space="preserve">ORD-100639</t>
  </si>
  <si>
    <t xml:space="preserve">10-08-2024</t>
  </si>
  <si>
    <t xml:space="preserve">ORD-100042</t>
  </si>
  <si>
    <t xml:space="preserve">12/11/2024</t>
  </si>
  <si>
    <t xml:space="preserve">Arjun Khan</t>
  </si>
  <si>
    <t xml:space="preserve">ORD-100552</t>
  </si>
  <si>
    <t xml:space="preserve">28-11-2023</t>
  </si>
  <si>
    <t xml:space="preserve">30-11-2023</t>
  </si>
  <si>
    <t xml:space="preserve">ORD-100045</t>
  </si>
  <si>
    <t xml:space="preserve">02/03/2023</t>
  </si>
  <si>
    <t xml:space="preserve">ORD-100161</t>
  </si>
  <si>
    <t xml:space="preserve">10/01/2024</t>
  </si>
  <si>
    <t xml:space="preserve">Isabella Wang</t>
  </si>
  <si>
    <t xml:space="preserve">ORD-100288</t>
  </si>
  <si>
    <t xml:space="preserve">Mar 25, 2024</t>
  </si>
  <si>
    <t xml:space="preserve">ORD-100591</t>
  </si>
  <si>
    <t xml:space="preserve">12/31/2024</t>
  </si>
  <si>
    <t xml:space="preserve">01/02/2025</t>
  </si>
  <si>
    <t xml:space="preserve">ORD-100628</t>
  </si>
  <si>
    <t xml:space="preserve">ORD-100315</t>
  </si>
  <si>
    <t xml:space="preserve">25/06/2023</t>
  </si>
  <si>
    <t xml:space="preserve">Yuki Petrov</t>
  </si>
  <si>
    <t xml:space="preserve">ORD-100230</t>
  </si>
  <si>
    <t xml:space="preserve">2023-12-10</t>
  </si>
  <si>
    <t xml:space="preserve">Olga Sharma</t>
  </si>
  <si>
    <t xml:space="preserve">ORD-100547</t>
  </si>
  <si>
    <t xml:space="preserve">ORD-100076</t>
  </si>
  <si>
    <t xml:space="preserve">  Nina Ali  </t>
  </si>
  <si>
    <t xml:space="preserve">ORD-100642</t>
  </si>
  <si>
    <t xml:space="preserve">2024-04-05</t>
  </si>
  <si>
    <t xml:space="preserve">2024-04-07</t>
  </si>
  <si>
    <t xml:space="preserve">ORD-100247</t>
  </si>
  <si>
    <t xml:space="preserve">02/05/2024</t>
  </si>
  <si>
    <t xml:space="preserve">ORD-100476</t>
  </si>
  <si>
    <t xml:space="preserve">06/09/2024</t>
  </si>
  <si>
    <t xml:space="preserve">yuki brown</t>
  </si>
  <si>
    <t xml:space="preserve">ORD-100085</t>
  </si>
  <si>
    <t xml:space="preserve">08/09/2024</t>
  </si>
  <si>
    <t xml:space="preserve">08/10/2024</t>
  </si>
  <si>
    <t xml:space="preserve">  Mei Rossi  </t>
  </si>
  <si>
    <t xml:space="preserve">ORD-100469</t>
  </si>
  <si>
    <t xml:space="preserve">Sep 07, 2023</t>
  </si>
  <si>
    <t xml:space="preserve">Sep 10, 2023</t>
  </si>
  <si>
    <t xml:space="preserve">Maria Wang</t>
  </si>
  <si>
    <t xml:space="preserve">ORD-100225</t>
  </si>
  <si>
    <t xml:space="preserve">01-09-2023</t>
  </si>
  <si>
    <t xml:space="preserve">03-09-2023</t>
  </si>
  <si>
    <t xml:space="preserve">ORD-100331</t>
  </si>
  <si>
    <t xml:space="preserve">12/24/2024</t>
  </si>
  <si>
    <t xml:space="preserve">12/29/2024</t>
  </si>
  <si>
    <t xml:space="preserve">Raj Fernandez</t>
  </si>
  <si>
    <t xml:space="preserve">ORD-100233</t>
  </si>
  <si>
    <t xml:space="preserve">ORD-100590</t>
  </si>
  <si>
    <t xml:space="preserve">13/09/2024</t>
  </si>
  <si>
    <t xml:space="preserve">17/09/2024</t>
  </si>
  <si>
    <t xml:space="preserve">omar garcia</t>
  </si>
  <si>
    <t xml:space="preserve">ORD-100421</t>
  </si>
  <si>
    <t xml:space="preserve">Sep 28, 2023</t>
  </si>
  <si>
    <t xml:space="preserve">Oct 01, 2023</t>
  </si>
  <si>
    <t xml:space="preserve">ethan petrov</t>
  </si>
  <si>
    <t xml:space="preserve">ORD-100182</t>
  </si>
  <si>
    <t xml:space="preserve">May 16, 2023</t>
  </si>
  <si>
    <t xml:space="preserve">ORD-100332</t>
  </si>
  <si>
    <t xml:space="preserve">10/12/2024</t>
  </si>
  <si>
    <t xml:space="preserve">liam novak</t>
  </si>
  <si>
    <t xml:space="preserve">ORD-100438</t>
  </si>
  <si>
    <t xml:space="preserve">23-12-2024</t>
  </si>
  <si>
    <t xml:space="preserve">28-12-2024</t>
  </si>
  <si>
    <t xml:space="preserve">ORD-100049</t>
  </si>
  <si>
    <t xml:space="preserve">2024-04-09</t>
  </si>
  <si>
    <t xml:space="preserve">2024-04-13</t>
  </si>
  <si>
    <t xml:space="preserve">Fatima Brown</t>
  </si>
  <si>
    <t xml:space="preserve">ORD-100005</t>
  </si>
  <si>
    <t xml:space="preserve">Lucas Khan</t>
  </si>
  <si>
    <t xml:space="preserve">ORD-100529</t>
  </si>
  <si>
    <t xml:space="preserve">26-10-2023</t>
  </si>
  <si>
    <t xml:space="preserve">01-11-2023</t>
  </si>
  <si>
    <t xml:space="preserve">ORD-100234</t>
  </si>
  <si>
    <t xml:space="preserve">05/25/2023</t>
  </si>
  <si>
    <t xml:space="preserve">05/31/2023</t>
  </si>
  <si>
    <t xml:space="preserve">ORD-100486</t>
  </si>
  <si>
    <t xml:space="preserve">ORD-100596</t>
  </si>
  <si>
    <t xml:space="preserve">09/12/2023</t>
  </si>
  <si>
    <t xml:space="preserve">09/13/2023</t>
  </si>
  <si>
    <t xml:space="preserve">Zara Smith</t>
  </si>
  <si>
    <t xml:space="preserve">ORD-100497</t>
  </si>
  <si>
    <t xml:space="preserve">ORD-100106</t>
  </si>
  <si>
    <t xml:space="preserve">15-06-2024</t>
  </si>
  <si>
    <t xml:space="preserve">20-06-2024</t>
  </si>
  <si>
    <t xml:space="preserve">ORD-100443</t>
  </si>
  <si>
    <t xml:space="preserve">Oct 24, 2023</t>
  </si>
  <si>
    <t xml:space="preserve">ORD-100488</t>
  </si>
  <si>
    <t xml:space="preserve">Apr 30, 2024</t>
  </si>
  <si>
    <t xml:space="preserve">ORD-100012</t>
  </si>
  <si>
    <t xml:space="preserve">10-07-2024</t>
  </si>
  <si>
    <t xml:space="preserve">16-07-2024</t>
  </si>
  <si>
    <t xml:space="preserve">  Ethan Martin  </t>
  </si>
  <si>
    <t xml:space="preserve">ORD-100190</t>
  </si>
  <si>
    <t xml:space="preserve">07/13/2023</t>
  </si>
  <si>
    <t xml:space="preserve">ORD-100282</t>
  </si>
  <si>
    <t xml:space="preserve">Jan 31, 2023</t>
  </si>
  <si>
    <t xml:space="preserve">Feb 01, 2023</t>
  </si>
  <si>
    <t xml:space="preserve">anaya chen</t>
  </si>
  <si>
    <t xml:space="preserve">ORD-100029</t>
  </si>
  <si>
    <t xml:space="preserve">18/07/2023</t>
  </si>
  <si>
    <t xml:space="preserve">21/07/2023</t>
  </si>
  <si>
    <t xml:space="preserve">  Emma Ali  </t>
  </si>
  <si>
    <t xml:space="preserve">ORD-100169</t>
  </si>
  <si>
    <t xml:space="preserve">02/18/2024</t>
  </si>
  <si>
    <t xml:space="preserve">02/19/2024</t>
  </si>
  <si>
    <t xml:space="preserve">ORD-100180</t>
  </si>
  <si>
    <t xml:space="preserve">ORD-100100</t>
  </si>
  <si>
    <t xml:space="preserve">31-01-2023</t>
  </si>
  <si>
    <t xml:space="preserve">06-02-2023</t>
  </si>
  <si>
    <t xml:space="preserve">ORD-100197</t>
  </si>
  <si>
    <t xml:space="preserve">Nov 13, 2023</t>
  </si>
  <si>
    <t xml:space="preserve">Nov 15, 2023</t>
  </si>
  <si>
    <t xml:space="preserve">Aisha Tanaka</t>
  </si>
  <si>
    <t xml:space="preserve">ORD-100495</t>
  </si>
  <si>
    <t xml:space="preserve">2023-01-07</t>
  </si>
  <si>
    <t xml:space="preserve">ORD-100645</t>
  </si>
  <si>
    <t xml:space="preserve">2023-12-28</t>
  </si>
  <si>
    <t xml:space="preserve">Raj Novak</t>
  </si>
  <si>
    <t xml:space="preserve">ORD-100373</t>
  </si>
  <si>
    <t xml:space="preserve">Oct 31, 2023</t>
  </si>
  <si>
    <t xml:space="preserve">Nov 07, 2023</t>
  </si>
  <si>
    <t xml:space="preserve">ORD-100587</t>
  </si>
  <si>
    <t xml:space="preserve">09-10-2024</t>
  </si>
  <si>
    <t xml:space="preserve">14-10-2024</t>
  </si>
  <si>
    <t xml:space="preserve">ORD-100460</t>
  </si>
  <si>
    <t xml:space="preserve">2023-07-30</t>
  </si>
  <si>
    <t xml:space="preserve">2023-08-03</t>
  </si>
  <si>
    <t xml:space="preserve">ORD-100413</t>
  </si>
  <si>
    <t xml:space="preserve">Sep 26, 2024</t>
  </si>
  <si>
    <t xml:space="preserve">ORD-100131</t>
  </si>
  <si>
    <t xml:space="preserve">Sep 15, 2023</t>
  </si>
  <si>
    <t xml:space="preserve">Olga Novak</t>
  </si>
  <si>
    <t xml:space="preserve">ORD-100039</t>
  </si>
  <si>
    <t xml:space="preserve">21/08/2023</t>
  </si>
  <si>
    <t xml:space="preserve">27/08/2023</t>
  </si>
  <si>
    <t xml:space="preserve">Fatima Khan</t>
  </si>
  <si>
    <t xml:space="preserve">ORD-100434</t>
  </si>
  <si>
    <t xml:space="preserve">2023-09-12</t>
  </si>
  <si>
    <t xml:space="preserve">Tom Patel</t>
  </si>
  <si>
    <t xml:space="preserve">ORD-100215</t>
  </si>
  <si>
    <t xml:space="preserve">Jan 27, 2023</t>
  </si>
  <si>
    <t xml:space="preserve">ORD-100555</t>
  </si>
  <si>
    <t xml:space="preserve">Oct 10, 2023</t>
  </si>
  <si>
    <t xml:space="preserve">ORD-100566</t>
  </si>
  <si>
    <t xml:space="preserve">24/05/2024</t>
  </si>
  <si>
    <t xml:space="preserve">ORD-100474</t>
  </si>
  <si>
    <t xml:space="preserve">Aug 18, 2023</t>
  </si>
  <si>
    <t xml:space="preserve">Aug 20, 2023</t>
  </si>
  <si>
    <t xml:space="preserve">Ivan Kim</t>
  </si>
  <si>
    <t xml:space="preserve">ORD-100456</t>
  </si>
  <si>
    <t xml:space="preserve">2024-10-30</t>
  </si>
  <si>
    <t xml:space="preserve">ORD-100260</t>
  </si>
  <si>
    <t xml:space="preserve">15-10-2024</t>
  </si>
  <si>
    <t xml:space="preserve">Omar Novak</t>
  </si>
  <si>
    <t xml:space="preserve">ORD-100035</t>
  </si>
  <si>
    <t xml:space="preserve">Feb 22, 2023</t>
  </si>
  <si>
    <t xml:space="preserve">ORD-100309</t>
  </si>
  <si>
    <t xml:space="preserve">ORD-100276</t>
  </si>
  <si>
    <t xml:space="preserve">04/02/2024</t>
  </si>
  <si>
    <t xml:space="preserve">noah johnson</t>
  </si>
  <si>
    <t xml:space="preserve">ORD-100393</t>
  </si>
  <si>
    <t xml:space="preserve">2023-04-25</t>
  </si>
  <si>
    <t xml:space="preserve">Isabella Novak</t>
  </si>
  <si>
    <t xml:space="preserve">ORD-100107</t>
  </si>
  <si>
    <t xml:space="preserve">2024-04-08</t>
  </si>
  <si>
    <t xml:space="preserve">2024-04-11</t>
  </si>
  <si>
    <t xml:space="preserve">  Priya Khan  </t>
  </si>
  <si>
    <t xml:space="preserve">ORD-100626</t>
  </si>
  <si>
    <t xml:space="preserve">17-03-2023</t>
  </si>
  <si>
    <t xml:space="preserve">22-03-2023</t>
  </si>
  <si>
    <t xml:space="preserve">ORD-100524</t>
  </si>
  <si>
    <t xml:space="preserve">05-06-2024</t>
  </si>
  <si>
    <t xml:space="preserve">09-06-2024</t>
  </si>
  <si>
    <t xml:space="preserve">Emma Chen</t>
  </si>
  <si>
    <t xml:space="preserve">ORD-100047</t>
  </si>
  <si>
    <t xml:space="preserve">06/28/2023</t>
  </si>
  <si>
    <t xml:space="preserve">07/01/2023</t>
  </si>
  <si>
    <t xml:space="preserve">ORD-100203</t>
  </si>
  <si>
    <t xml:space="preserve">Aug 21, 2024</t>
  </si>
  <si>
    <t xml:space="preserve">Aug 22, 2024</t>
  </si>
  <si>
    <t xml:space="preserve">Sofia Smith</t>
  </si>
  <si>
    <t xml:space="preserve">ORD-100613</t>
  </si>
  <si>
    <t xml:space="preserve">12/05/2024</t>
  </si>
  <si>
    <t xml:space="preserve">12/10/2024</t>
  </si>
  <si>
    <t xml:space="preserve">Ivan Lee</t>
  </si>
  <si>
    <t xml:space="preserve">ORD-100021</t>
  </si>
  <si>
    <t xml:space="preserve">ORD-100402</t>
  </si>
  <si>
    <t xml:space="preserve">Yuki Khan</t>
  </si>
  <si>
    <t xml:space="preserve">ORD-100083</t>
  </si>
  <si>
    <t xml:space="preserve">Oct 25, 2023</t>
  </si>
  <si>
    <t xml:space="preserve">ORD-100130</t>
  </si>
  <si>
    <t xml:space="preserve">06/12/2023</t>
  </si>
  <si>
    <t xml:space="preserve">07/12/2023</t>
  </si>
  <si>
    <t xml:space="preserve">ORD-100415</t>
  </si>
  <si>
    <t xml:space="preserve">07/12/2024</t>
  </si>
  <si>
    <t xml:space="preserve">07/14/2024</t>
  </si>
  <si>
    <t xml:space="preserve">carlos patel</t>
  </si>
  <si>
    <t xml:space="preserve">ORD-100286</t>
  </si>
  <si>
    <t xml:space="preserve">25-04-2024</t>
  </si>
  <si>
    <t xml:space="preserve">30-04-2024</t>
  </si>
  <si>
    <t xml:space="preserve">ORD-100123</t>
  </si>
  <si>
    <t xml:space="preserve">04/16/2023</t>
  </si>
  <si>
    <t xml:space="preserve">04/21/2023</t>
  </si>
  <si>
    <t xml:space="preserve">fatima rossi</t>
  </si>
  <si>
    <t xml:space="preserve">ORD-100033</t>
  </si>
  <si>
    <t xml:space="preserve">10/02/2023</t>
  </si>
  <si>
    <t xml:space="preserve">14/02/2023</t>
  </si>
  <si>
    <t xml:space="preserve">  Grace Kim  </t>
  </si>
  <si>
    <t xml:space="preserve">ORD-100516</t>
  </si>
  <si>
    <t xml:space="preserve">24/10/2024</t>
  </si>
  <si>
    <t xml:space="preserve">29/10/2024</t>
  </si>
  <si>
    <t xml:space="preserve">ORD-100019</t>
  </si>
  <si>
    <t xml:space="preserve">03/16/2023</t>
  </si>
  <si>
    <t xml:space="preserve">03/20/2023</t>
  </si>
  <si>
    <t xml:space="preserve">Arjun Said</t>
  </si>
  <si>
    <t xml:space="preserve">ORD-100614</t>
  </si>
  <si>
    <t xml:space="preserve">2023-11-10</t>
  </si>
  <si>
    <t xml:space="preserve">ORD-100219</t>
  </si>
  <si>
    <t xml:space="preserve">05-07-2024</t>
  </si>
  <si>
    <t xml:space="preserve">ORD-100481</t>
  </si>
  <si>
    <t xml:space="preserve">Emma Novak</t>
  </si>
  <si>
    <t xml:space="preserve">ORD-100356</t>
  </si>
  <si>
    <t xml:space="preserve">16/02/2024</t>
  </si>
  <si>
    <t xml:space="preserve">22/02/2024</t>
  </si>
  <si>
    <t xml:space="preserve">ORD-100224</t>
  </si>
  <si>
    <t xml:space="preserve">02-08-2024</t>
  </si>
  <si>
    <t xml:space="preserve">ORD-100092</t>
  </si>
  <si>
    <t xml:space="preserve">19-04-2024</t>
  </si>
  <si>
    <t xml:space="preserve">ORD-100151</t>
  </si>
  <si>
    <t xml:space="preserve">07/04/2023</t>
  </si>
  <si>
    <t xml:space="preserve">07/11/2023</t>
  </si>
  <si>
    <t xml:space="preserve">ORD-100317</t>
  </si>
  <si>
    <t xml:space="preserve">21-10-2024</t>
  </si>
  <si>
    <t xml:space="preserve">23-10-2024</t>
  </si>
  <si>
    <t xml:space="preserve">Grace Lee</t>
  </si>
  <si>
    <t xml:space="preserve">ORD-100448</t>
  </si>
  <si>
    <t xml:space="preserve">Jun 16, 2024</t>
  </si>
  <si>
    <t xml:space="preserve">  Fatima Okafor  </t>
  </si>
  <si>
    <t xml:space="preserve">ORD-100522</t>
  </si>
  <si>
    <t xml:space="preserve">  Amara Tanaka  </t>
  </si>
  <si>
    <t xml:space="preserve">ORD-100279</t>
  </si>
  <si>
    <t xml:space="preserve">08/13/2023</t>
  </si>
  <si>
    <t xml:space="preserve">ORD-100583</t>
  </si>
  <si>
    <t xml:space="preserve">15/05/2024</t>
  </si>
  <si>
    <t xml:space="preserve">18/05/2024</t>
  </si>
  <si>
    <t xml:space="preserve">ORD-100604</t>
  </si>
  <si>
    <t xml:space="preserve">ORD-100349</t>
  </si>
  <si>
    <t xml:space="preserve">25/02/2024</t>
  </si>
  <si>
    <t xml:space="preserve">Fatima Garcia</t>
  </si>
  <si>
    <t xml:space="preserve">ORD-100374</t>
  </si>
  <si>
    <t xml:space="preserve">19/08/2023</t>
  </si>
  <si>
    <t xml:space="preserve">ORD-100400</t>
  </si>
  <si>
    <t xml:space="preserve">02/17/2024</t>
  </si>
  <si>
    <t xml:space="preserve">ORD-100257</t>
  </si>
  <si>
    <t xml:space="preserve">08/11/2024</t>
  </si>
  <si>
    <t xml:space="preserve">Raj Khan</t>
  </si>
  <si>
    <t xml:space="preserve">ORD-100072</t>
  </si>
  <si>
    <t xml:space="preserve">Dec 26, 2023</t>
  </si>
  <si>
    <t xml:space="preserve">Tom Chen</t>
  </si>
  <si>
    <t xml:space="preserve">ORD-100195</t>
  </si>
  <si>
    <t xml:space="preserve">26-03-2023</t>
  </si>
  <si>
    <t xml:space="preserve">ORD-100483</t>
  </si>
  <si>
    <t xml:space="preserve">16/11/2023</t>
  </si>
  <si>
    <t xml:space="preserve">23/11/2023</t>
  </si>
  <si>
    <t xml:space="preserve">Lucas Smith</t>
  </si>
  <si>
    <t xml:space="preserve">ORD-100137</t>
  </si>
  <si>
    <t xml:space="preserve">01/23/2024</t>
  </si>
  <si>
    <t xml:space="preserve">01/26/2024</t>
  </si>
  <si>
    <t xml:space="preserve">Fatima Okafor</t>
  </si>
  <si>
    <t xml:space="preserve">ORD-100494</t>
  </si>
  <si>
    <t xml:space="preserve">2023-11-21</t>
  </si>
  <si>
    <t xml:space="preserve">2023-11-27</t>
  </si>
  <si>
    <t xml:space="preserve">Omar Wang</t>
  </si>
  <si>
    <t xml:space="preserve">ORD-100550</t>
  </si>
  <si>
    <t xml:space="preserve">02/04/2023</t>
  </si>
  <si>
    <t xml:space="preserve">05/04/2023</t>
  </si>
  <si>
    <t xml:space="preserve">Nina Rossi</t>
  </si>
  <si>
    <t xml:space="preserve">ORD-100462</t>
  </si>
  <si>
    <t xml:space="preserve">05/22/2024</t>
  </si>
  <si>
    <t xml:space="preserve">  Diego Tanaka  </t>
  </si>
  <si>
    <t xml:space="preserve">ORD-100201</t>
  </si>
  <si>
    <t xml:space="preserve">2024-05-25</t>
  </si>
  <si>
    <t xml:space="preserve">2024-05-28</t>
  </si>
  <si>
    <t xml:space="preserve">ORD-100312</t>
  </si>
  <si>
    <t xml:space="preserve">15-06-2023</t>
  </si>
  <si>
    <t xml:space="preserve">20-06-2023</t>
  </si>
  <si>
    <t xml:space="preserve">ORD-100290</t>
  </si>
  <si>
    <t xml:space="preserve">03/22/2024</t>
  </si>
  <si>
    <t xml:space="preserve">03/26/2024</t>
  </si>
  <si>
    <t xml:space="preserve">Priya Patel</t>
  </si>
  <si>
    <t xml:space="preserve">ORD-100189</t>
  </si>
  <si>
    <t xml:space="preserve">2023-01-29</t>
  </si>
  <si>
    <t xml:space="preserve">2023-02-02</t>
  </si>
  <si>
    <t xml:space="preserve">Wei Fernandez</t>
  </si>
  <si>
    <t xml:space="preserve">ORD-100112</t>
  </si>
  <si>
    <t xml:space="preserve">05-04-2024</t>
  </si>
  <si>
    <t xml:space="preserve">08-04-2024</t>
  </si>
  <si>
    <t xml:space="preserve">ORD-100183</t>
  </si>
  <si>
    <t xml:space="preserve">Nov 25, 2024</t>
  </si>
  <si>
    <t xml:space="preserve">Dec 01, 2024</t>
  </si>
  <si>
    <t xml:space="preserve">ORD-100152</t>
  </si>
  <si>
    <t xml:space="preserve">18-01-2024</t>
  </si>
  <si>
    <t xml:space="preserve">ORD-100325</t>
  </si>
  <si>
    <t xml:space="preserve">ORD-100044</t>
  </si>
  <si>
    <t xml:space="preserve">26/10/2024</t>
  </si>
  <si>
    <t xml:space="preserve">ORD-100444</t>
  </si>
  <si>
    <t xml:space="preserve">May 02, 2024</t>
  </si>
  <si>
    <t xml:space="preserve">ORD-100006</t>
  </si>
  <si>
    <t xml:space="preserve">Wei Novak</t>
  </si>
  <si>
    <t xml:space="preserve">ORD-100250</t>
  </si>
  <si>
    <t xml:space="preserve">19/04/2023</t>
  </si>
  <si>
    <t xml:space="preserve">23/04/2023</t>
  </si>
  <si>
    <t xml:space="preserve">  Fatima Sharma  </t>
  </si>
  <si>
    <t xml:space="preserve">ORD-100075</t>
  </si>
  <si>
    <t xml:space="preserve">May 24, 2024</t>
  </si>
  <si>
    <t xml:space="preserve">Diego Martin</t>
  </si>
  <si>
    <t xml:space="preserve">ORD-100512</t>
  </si>
  <si>
    <t xml:space="preserve">2023-10-24</t>
  </si>
  <si>
    <t xml:space="preserve">2023-10-26</t>
  </si>
  <si>
    <t xml:space="preserve">Maria Fernandez</t>
  </si>
  <si>
    <t xml:space="preserve">ORD-100391</t>
  </si>
  <si>
    <t xml:space="preserve">17-09-2024</t>
  </si>
  <si>
    <t xml:space="preserve">Tom Said</t>
  </si>
  <si>
    <t xml:space="preserve">ORD-100432</t>
  </si>
  <si>
    <t xml:space="preserve">ORD-100068</t>
  </si>
  <si>
    <t xml:space="preserve">25/11/2024</t>
  </si>
  <si>
    <t xml:space="preserve">02/12/2024</t>
  </si>
  <si>
    <t xml:space="preserve">Carlos Chen</t>
  </si>
  <si>
    <t xml:space="preserve">ORD-100167</t>
  </si>
  <si>
    <t xml:space="preserve">12/27/2024</t>
  </si>
  <si>
    <t xml:space="preserve">ORD-100554</t>
  </si>
  <si>
    <t xml:space="preserve">ORD-100366</t>
  </si>
  <si>
    <t xml:space="preserve">06/08/2023</t>
  </si>
  <si>
    <t xml:space="preserve">Hassan Johnson</t>
  </si>
  <si>
    <t xml:space="preserve">ORD-100345</t>
  </si>
  <si>
    <t xml:space="preserve">2024-07-13</t>
  </si>
  <si>
    <t xml:space="preserve">ORD-100584</t>
  </si>
  <si>
    <t xml:space="preserve">arjun garcia</t>
  </si>
  <si>
    <t xml:space="preserve">ORD-100535</t>
  </si>
  <si>
    <t xml:space="preserve">2024-03-01</t>
  </si>
  <si>
    <t xml:space="preserve">2024-03-03</t>
  </si>
  <si>
    <t xml:space="preserve">Wei Martin</t>
  </si>
  <si>
    <t xml:space="preserve">ORD-100398</t>
  </si>
  <si>
    <t xml:space="preserve">Oct 16, 2023</t>
  </si>
  <si>
    <t xml:space="preserve">John Novak</t>
  </si>
  <si>
    <t xml:space="preserve">ORD-100185</t>
  </si>
  <si>
    <t xml:space="preserve">Jul 22, 2024</t>
  </si>
  <si>
    <t xml:space="preserve">Aisha Said</t>
  </si>
  <si>
    <t xml:space="preserve">ORD-100348</t>
  </si>
  <si>
    <t xml:space="preserve">03/12/2023</t>
  </si>
  <si>
    <t xml:space="preserve">08/12/2023</t>
  </si>
  <si>
    <t xml:space="preserve">  Arjun Ali  </t>
  </si>
  <si>
    <t xml:space="preserve">ORD-100615</t>
  </si>
  <si>
    <t xml:space="preserve">2024-09-04</t>
  </si>
  <si>
    <t xml:space="preserve">2024-09-11</t>
  </si>
  <si>
    <t xml:space="preserve">ORD-100211</t>
  </si>
  <si>
    <t xml:space="preserve">2023-03-21</t>
  </si>
  <si>
    <t xml:space="preserve">2023-03-27</t>
  </si>
  <si>
    <t xml:space="preserve">Amara Johnson</t>
  </si>
  <si>
    <t xml:space="preserve">ORD-100502</t>
  </si>
  <si>
    <t xml:space="preserve">17-05-2023</t>
  </si>
  <si>
    <t xml:space="preserve">ORD-100537</t>
  </si>
  <si>
    <t xml:space="preserve">11/17/2024</t>
  </si>
  <si>
    <t xml:space="preserve">ivan khan</t>
  </si>
  <si>
    <t xml:space="preserve">ORD-100196</t>
  </si>
  <si>
    <t xml:space="preserve">10/04/2024</t>
  </si>
  <si>
    <t xml:space="preserve">ORD-100175</t>
  </si>
  <si>
    <t xml:space="preserve">16/05/2024</t>
  </si>
  <si>
    <t xml:space="preserve">Data Cleaning Log</t>
  </si>
  <si>
    <t xml:space="preserve">Original raw rows: 670</t>
  </si>
  <si>
    <t xml:space="preserve">Removed fully blank rows: 5</t>
  </si>
  <si>
    <t xml:space="preserve">Removed exact duplicate rows: 15</t>
  </si>
  <si>
    <t xml:space="preserve">Rows remaining after removing blanks/duplicates: 650</t>
  </si>
  <si>
    <t xml:space="preserve">Corrected 29 misspelled Region values ('Nort' -&gt; 'North')</t>
  </si>
  <si>
    <t xml:space="preserve">Standardized casing/whitespace in Customer Name, Region, Category, City, Segment, Ship Mode, Sub-Category</t>
  </si>
  <si>
    <t xml:space="preserve">Filled missing Customer Name (36 rows) with 'Unknown Customer'</t>
  </si>
  <si>
    <t xml:space="preserve">Filled missing Segment (163 rows) with 'Unknown'</t>
  </si>
  <si>
    <t xml:space="preserve">Parsed Order Date and Ship Date from 5 mixed formats into a single consistent date format</t>
  </si>
  <si>
    <t xml:space="preserve">Ship Date left blank for 21 rows with no recorded ship date (flagged for review, not guessed)</t>
  </si>
  <si>
    <t xml:space="preserve">Filled missing Quantity (65 rows) with the median quantity for that product Category</t>
  </si>
  <si>
    <t xml:space="preserve">Filled missing Discount (191 rows) with 0, assuming no discount was recorded/applied</t>
  </si>
  <si>
    <t xml:space="preserve">Recomputed missing Sales (1 rows) as Quantity x Unit Price x (1 - Discount)</t>
  </si>
  <si>
    <t xml:space="preserve">Estimated missing Profit (20 rows) using the average profit margin for that Category</t>
  </si>
  <si>
    <t xml:space="preserve">Detected and capped 19 extreme Sales/Profit outliers using the IQR method (values beyond Q1-3xIQR / Q3+3xIQR)</t>
  </si>
  <si>
    <t xml:space="preserve">Capped outlier details:</t>
  </si>
  <si>
    <t xml:space="preserve">Order ORD-100467: Profit 1619.05 -&gt; capped to 993.15</t>
  </si>
  <si>
    <t xml:space="preserve">Order ORD-100382: Profit 1433.43 -&gt; capped to 993.15</t>
  </si>
  <si>
    <t xml:space="preserve">Order ORD-100339: Sales 21251.70 -&gt; capped to 6212.69</t>
  </si>
  <si>
    <t xml:space="preserve">Order ORD-100339: Profit -3079.92 -&gt; capped to -733.22</t>
  </si>
  <si>
    <t xml:space="preserve">Order ORD-100361: Profit 1036.89 -&gt; capped to 993.15</t>
  </si>
  <si>
    <t xml:space="preserve">Order ORD-100538: Profit 1538.87 -&gt; capped to 993.15</t>
  </si>
  <si>
    <t xml:space="preserve">Order ORD-100378: Profit 1633.27 -&gt; capped to 993.15</t>
  </si>
  <si>
    <t xml:space="preserve">Order ORD-100358: Profit 1148.43 -&gt; capped to 993.15</t>
  </si>
  <si>
    <t xml:space="preserve">Order ORD-100477: Profit -3331.20 -&gt; capped to -733.22</t>
  </si>
  <si>
    <t xml:space="preserve">Order ORD-100096: Sales 28837.50 -&gt; capped to 6212.69</t>
  </si>
  <si>
    <t xml:space="preserve">Order ORD-100096: Profit 3600.59 -&gt; capped to 993.15</t>
  </si>
  <si>
    <t xml:space="preserve">Order ORD-100359: Sales 14135.55 -&gt; capped to 6212.69</t>
  </si>
  <si>
    <t xml:space="preserve">Order ORD-100573: Sales 23366.40 -&gt; capped to 6212.69</t>
  </si>
  <si>
    <t xml:space="preserve">Order ORD-100061: Profit 1858.01 -&gt; capped to 993.15</t>
  </si>
  <si>
    <t xml:space="preserve">Order ORD-100251: Profit 1048.24 -&gt; capped to 993.15</t>
  </si>
  <si>
    <t xml:space="preserve">Order ORD-100126: Profit 1003.75 -&gt; capped to 993.15</t>
  </si>
  <si>
    <t xml:space="preserve">Order ORD-100617: Profit -2205.52 -&gt; capped to -733.22</t>
  </si>
  <si>
    <t xml:space="preserve">Order ORD-100011: Profit -10848.32 -&gt; capped to -733.22</t>
  </si>
  <si>
    <t xml:space="preserve">Order ORD-100029: Profit 1194.71 -&gt; capped to 993.15</t>
  </si>
  <si>
    <t xml:space="preserve">Order Month</t>
  </si>
  <si>
    <t xml:space="preserve">Profit Margin %</t>
  </si>
  <si>
    <t xml:space="preserve">Outlier Flag</t>
  </si>
  <si>
    <t xml:space="preserve">Outlier thresholds (IQR method)</t>
  </si>
  <si>
    <t xml:space="preserve">Sales lower bound</t>
  </si>
  <si>
    <t xml:space="preserve">Unknown Customer</t>
  </si>
  <si>
    <t xml:space="preserve">Sales upper bound</t>
  </si>
  <si>
    <t xml:space="preserve">Profit lower bound</t>
  </si>
  <si>
    <t xml:space="preserve">Unknown</t>
  </si>
  <si>
    <t xml:space="preserve">Profit upper bound</t>
  </si>
  <si>
    <t xml:space="preserve">John Kim</t>
  </si>
  <si>
    <t xml:space="preserve">Tom Fernandez</t>
  </si>
  <si>
    <t xml:space="preserve">Arjun Ali</t>
  </si>
  <si>
    <t xml:space="preserve">Hassan Ali</t>
  </si>
  <si>
    <t xml:space="preserve">Fatima Rossi</t>
  </si>
  <si>
    <t xml:space="preserve">Raj Lee</t>
  </si>
  <si>
    <t xml:space="preserve">Lucas Wang</t>
  </si>
  <si>
    <t xml:space="preserve">Kenji Novak</t>
  </si>
  <si>
    <t xml:space="preserve">Ivan Khan</t>
  </si>
  <si>
    <t xml:space="preserve">Emma Ali</t>
  </si>
  <si>
    <t xml:space="preserve">Wei Ali</t>
  </si>
  <si>
    <t xml:space="preserve">Grace Kim</t>
  </si>
  <si>
    <t xml:space="preserve">Ethan Novak</t>
  </si>
  <si>
    <t xml:space="preserve">Maria Petrov</t>
  </si>
  <si>
    <t xml:space="preserve">Sofia Wang</t>
  </si>
  <si>
    <t xml:space="preserve">Priya Wang</t>
  </si>
  <si>
    <t xml:space="preserve">Yuki Brown</t>
  </si>
  <si>
    <t xml:space="preserve">Nina Ali</t>
  </si>
  <si>
    <t xml:space="preserve">Mei Rossi</t>
  </si>
  <si>
    <t xml:space="preserve">Ivan Wang</t>
  </si>
  <si>
    <t xml:space="preserve">Liam Novak</t>
  </si>
  <si>
    <t xml:space="preserve">Raj Smith</t>
  </si>
  <si>
    <t xml:space="preserve">Zara Kim</t>
  </si>
  <si>
    <t xml:space="preserve">Amara Khan</t>
  </si>
  <si>
    <t xml:space="preserve">Yuki Patel</t>
  </si>
  <si>
    <t xml:space="preserve">Olga Patel</t>
  </si>
  <si>
    <t xml:space="preserve">Yuki Lee</t>
  </si>
  <si>
    <t xml:space="preserve">Olga Brown</t>
  </si>
  <si>
    <t xml:space="preserve">Summary Tables (live formulas over Cleaned Data)</t>
  </si>
  <si>
    <t xml:space="preserve">Sales &amp; Profit by Region</t>
  </si>
  <si>
    <t xml:space="preserve">Order Count</t>
  </si>
  <si>
    <t xml:space="preserve">Sales &amp; Profit by Category</t>
  </si>
  <si>
    <t xml:space="preserve">Monthly Sales Trend</t>
  </si>
  <si>
    <t xml:space="preserve">Month</t>
  </si>
  <si>
    <t xml:space="preserve">Jan-2023</t>
  </si>
  <si>
    <t xml:space="preserve">Feb-2023</t>
  </si>
  <si>
    <t xml:space="preserve">Mar-2023</t>
  </si>
  <si>
    <t xml:space="preserve">Apr-2023</t>
  </si>
  <si>
    <t xml:space="preserve">May-2023</t>
  </si>
  <si>
    <t xml:space="preserve">Jun-2023</t>
  </si>
  <si>
    <t xml:space="preserve">Jul-2023</t>
  </si>
  <si>
    <t xml:space="preserve">Aug-2023</t>
  </si>
  <si>
    <t xml:space="preserve">Sep-2023</t>
  </si>
  <si>
    <t xml:space="preserve">Oct-2023</t>
  </si>
  <si>
    <t xml:space="preserve">Nov-2023</t>
  </si>
  <si>
    <t xml:space="preserve">Dec-2023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</si>
  <si>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</si>
  <si>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</si>
  <si>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</si>
  <si>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</si>
  <si>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</si>
  <si>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</si>
  <si>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</si>
  <si>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</si>
  <si>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</si>
  <si>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</si>
  <si>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</si>
  <si>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</si>
  <si>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Segment Share of Sales</t>
  </si>
  <si>
    <t xml:space="preserve">% of Total Sales</t>
  </si>
  <si>
    <t xml:space="preserve">Total</t>
  </si>
  <si>
    <t xml:space="preserve">Top 10 Customers by Sales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</si>
</sst>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#,##0"/>
    <numFmt numFmtId="167" formatCode="\$#,##0.00"/>
    <numFmt numFmtId="168" formatCode="0%"/>
    <numFmt numFmtId="169" formatCode="mm/dd/yyyy"/>
    <numFmt numFmtId="170" formatCode="\$#,##0.00"/>
    <numFmt numFmtId="171" formatCode="0.0%"/>
    <numFmt numFmtId="172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2F549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F549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Summary!$B$5:$B$8</c:f>
              <c:numCache>
                <c:formatCode>\$#,##0</c:formatCode>
                <c:ptCount val="4"/>
                <c:pt idx="0">
                  <c:v>191790.13</c:v>
                </c:pt>
                <c:pt idx="1">
                  <c:v>210985.61</c:v>
                </c:pt>
                <c:pt idx="2">
                  <c:v>208599.73</c:v>
                </c:pt>
                <c:pt idx="3">
                  <c:v>272527.89</c:v>
                </c:pt>
              </c:numCache>
            </c:numRef>
          </c:val>
        </c:ser>
        <c:gapWidth val="150"/>
        <c:overlap val="0"/>
        <c:axId val="22289397"/>
        <c:axId val="70426327"/>
      </c:barChart>
      <c:catAx>
        <c:axId val="22289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26327"/>
        <c:crosses val="autoZero"/>
        <c:auto val="1"/>
        <c:lblAlgn val="ctr"/>
        <c:lblOffset val="100"/>
        <c:noMultiLvlLbl val="0"/>
      </c:catAx>
      <c:valAx>
        <c:axId val="70426327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893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Summary!$A$12:$A$16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Office Supplies</c:v>
                </c:pt>
              </c:strCache>
            </c:strRef>
          </c:cat>
          <c:val>
            <c:numRef>
              <c:f>Summary!$B$12:$B$16</c:f>
              <c:numCache>
                <c:formatCode>\$#,##0</c:formatCode>
                <c:ptCount val="5"/>
                <c:pt idx="0">
                  <c:v>165724.31</c:v>
                </c:pt>
                <c:pt idx="1">
                  <c:v>192296.21</c:v>
                </c:pt>
                <c:pt idx="2">
                  <c:v>180630.87</c:v>
                </c:pt>
                <c:pt idx="3">
                  <c:v>190545.62</c:v>
                </c:pt>
                <c:pt idx="4">
                  <c:v>154706.35</c:v>
                </c:pt>
              </c:numCache>
            </c:numRef>
          </c:val>
        </c:ser>
        <c:gapWidth val="150"/>
        <c:overlap val="0"/>
        <c:axId val="97713755"/>
        <c:axId val="46941395"/>
      </c:barChart>
      <c:catAx>
        <c:axId val="977137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41395"/>
        <c:crosses val="autoZero"/>
        <c:auto val="1"/>
        <c:lblAlgn val="ctr"/>
        <c:lblOffset val="100"/>
        <c:noMultiLvlLbl val="0"/>
      </c:catAx>
      <c:valAx>
        <c:axId val="46941395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13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Summary!$A$20:$A$43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Summary!$B$20:$B$43</c:f>
              <c:numCache>
                <c:formatCode>\$#,##0</c:formatCode>
                <c:ptCount val="24"/>
                <c:pt idx="0">
                  <c:v>40355.1</c:v>
                </c:pt>
                <c:pt idx="1">
                  <c:v>40829.65</c:v>
                </c:pt>
                <c:pt idx="2">
                  <c:v>44022.33</c:v>
                </c:pt>
                <c:pt idx="3">
                  <c:v>23562.4</c:v>
                </c:pt>
                <c:pt idx="4">
                  <c:v>37443.41</c:v>
                </c:pt>
                <c:pt idx="5">
                  <c:v>16926.2</c:v>
                </c:pt>
                <c:pt idx="6">
                  <c:v>36547.34</c:v>
                </c:pt>
                <c:pt idx="7">
                  <c:v>25081.07</c:v>
                </c:pt>
                <c:pt idx="8">
                  <c:v>20160.77</c:v>
                </c:pt>
                <c:pt idx="9">
                  <c:v>47901.16</c:v>
                </c:pt>
                <c:pt idx="10">
                  <c:v>40426.29</c:v>
                </c:pt>
                <c:pt idx="11">
                  <c:v>29631.8</c:v>
                </c:pt>
                <c:pt idx="12">
                  <c:v>34950.82</c:v>
                </c:pt>
                <c:pt idx="13">
                  <c:v>27869.36</c:v>
                </c:pt>
                <c:pt idx="14">
                  <c:v>40907.56</c:v>
                </c:pt>
                <c:pt idx="15">
                  <c:v>36612.61</c:v>
                </c:pt>
                <c:pt idx="16">
                  <c:v>51176.85</c:v>
                </c:pt>
                <c:pt idx="17">
                  <c:v>43172.38</c:v>
                </c:pt>
                <c:pt idx="18">
                  <c:v>43279</c:v>
                </c:pt>
                <c:pt idx="19">
                  <c:v>49995.22</c:v>
                </c:pt>
                <c:pt idx="20">
                  <c:v>37718.16</c:v>
                </c:pt>
                <c:pt idx="21">
                  <c:v>33416.02</c:v>
                </c:pt>
                <c:pt idx="22">
                  <c:v>34244.61</c:v>
                </c:pt>
                <c:pt idx="23">
                  <c:v>47673.25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559551"/>
        <c:axId val="49667086"/>
      </c:lineChart>
      <c:catAx>
        <c:axId val="3255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67086"/>
        <c:crosses val="autoZero"/>
        <c:auto val="1"/>
        <c:lblAlgn val="ctr"/>
        <c:lblOffset val="100"/>
        <c:noMultiLvlLbl val="0"/>
      </c:catAx>
      <c:valAx>
        <c:axId val="49667086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595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Segment Share of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Summary!B46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Summary!$A$47:$A$50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Unknown</c:v>
                </c:pt>
              </c:strCache>
            </c:strRef>
          </c:cat>
          <c:val>
            <c:numRef>
              <c:f>Summary!$B$47:$B$50</c:f>
              <c:numCache>
                <c:formatCode>\$#,##0</c:formatCode>
                <c:ptCount val="4"/>
                <c:pt idx="0">
                  <c:v>229370.52</c:v>
                </c:pt>
                <c:pt idx="1">
                  <c:v>226808.75</c:v>
                </c:pt>
                <c:pt idx="2">
                  <c:v>213297.21</c:v>
                </c:pt>
                <c:pt idx="3">
                  <c:v>214426.88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Summary!B54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Summary!$A$55:$A$64</c:f>
              <c:strCache>
                <c:ptCount val="10"/>
                <c:pt idx="0">
                  <c:v>Noah Johnson</c:v>
                </c:pt>
                <c:pt idx="1">
                  <c:v>Hassan Petrov</c:v>
                </c:pt>
                <c:pt idx="2">
                  <c:v>Priya Rossi</c:v>
                </c:pt>
                <c:pt idx="3">
                  <c:v>Yuki Chen</c:v>
                </c:pt>
                <c:pt idx="4">
                  <c:v>Mei Brown</c:v>
                </c:pt>
                <c:pt idx="5">
                  <c:v>Diego Okafor</c:v>
                </c:pt>
                <c:pt idx="6">
                  <c:v>Priya Martin</c:v>
                </c:pt>
                <c:pt idx="7">
                  <c:v>Hassan Okafor</c:v>
                </c:pt>
                <c:pt idx="8">
                  <c:v>Kenji Ali</c:v>
                </c:pt>
                <c:pt idx="9">
                  <c:v>Noah Sharma</c:v>
                </c:pt>
              </c:strCache>
            </c:strRef>
          </c:cat>
          <c:val>
            <c:numRef>
              <c:f>Summary!$B$55:$B$64</c:f>
              <c:numCache>
                <c:formatCode>\$#,##0</c:formatCode>
                <c:ptCount val="10"/>
                <c:pt idx="0">
                  <c:v>9408.73</c:v>
                </c:pt>
                <c:pt idx="1">
                  <c:v>9335.2</c:v>
                </c:pt>
                <c:pt idx="2">
                  <c:v>8840.77</c:v>
                </c:pt>
                <c:pt idx="3">
                  <c:v>8679.18</c:v>
                </c:pt>
                <c:pt idx="4">
                  <c:v>8392.22</c:v>
                </c:pt>
                <c:pt idx="5">
                  <c:v>8343.56</c:v>
                </c:pt>
                <c:pt idx="6">
                  <c:v>7921.94</c:v>
                </c:pt>
                <c:pt idx="7">
                  <c:v>7769.61</c:v>
                </c:pt>
                <c:pt idx="8">
                  <c:v>7699.53</c:v>
                </c:pt>
                <c:pt idx="9">
                  <c:v>7665.85</c:v>
                </c:pt>
              </c:numCache>
            </c:numRef>
          </c:val>
        </c:ser>
        <c:gapWidth val="150"/>
        <c:overlap val="0"/>
        <c:axId val="42026606"/>
        <c:axId val="32580799"/>
      </c:barChart>
      <c:catAx>
        <c:axId val="42026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80799"/>
        <c:crosses val="autoZero"/>
        <c:auto val="1"/>
        <c:lblAlgn val="ctr"/>
        <c:lblOffset val="100"/>
        <c:noMultiLvlLbl val="0"/>
      </c:catAx>
      <c:valAx>
        <c:axId val="32580799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266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Summary!E11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Summary!$A$12:$A$16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Office Supplies</c:v>
                </c:pt>
              </c:strCache>
            </c:strRef>
          </c:cat>
          <c:val>
            <c:numRef>
              <c:f>Summary!$E$12:$E$16</c:f>
              <c:numCache>
                <c:formatCode>0.0%</c:formatCode>
                <c:ptCount val="5"/>
                <c:pt idx="0">
                  <c:v>0.111833924666816</c:v>
                </c:pt>
                <c:pt idx="1">
                  <c:v>0.129772240440932</c:v>
                </c:pt>
                <c:pt idx="2">
                  <c:v>0.0906972324276576</c:v>
                </c:pt>
                <c:pt idx="3">
                  <c:v>0.107049954756242</c:v>
                </c:pt>
                <c:pt idx="4">
                  <c:v>0.142783667250892</c:v>
                </c:pt>
              </c:numCache>
            </c:numRef>
          </c:val>
        </c:ser>
        <c:gapWidth val="150"/>
        <c:overlap val="0"/>
        <c:axId val="49730428"/>
        <c:axId val="84272767"/>
      </c:barChart>
      <c:catAx>
        <c:axId val="497304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72767"/>
        <c:crosses val="autoZero"/>
        <c:auto val="1"/>
        <c:lblAlgn val="ctr"/>
        <c:lblOffset val="100"/>
        <c:noMultiLvlLbl val="0"/>
      </c:catAx>
      <c:valAx>
        <c:axId val="8427276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304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747720</xdr:colOff>
      <xdr:row>24</xdr:row>
      <xdr:rowOff>11880</xdr:rowOff>
    </xdr:to>
    <xdr:graphicFrame>
      <xdr:nvGraphicFramePr>
        <xdr:cNvPr id="0" name="Chart 1"/>
        <xdr:cNvGraphicFramePr/>
      </xdr:nvGraphicFramePr>
      <xdr:xfrm>
        <a:off x="0" y="16765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0</xdr:rowOff>
    </xdr:from>
    <xdr:to>
      <xdr:col>11</xdr:col>
      <xdr:colOff>747720</xdr:colOff>
      <xdr:row>24</xdr:row>
      <xdr:rowOff>11880</xdr:rowOff>
    </xdr:to>
    <xdr:graphicFrame>
      <xdr:nvGraphicFramePr>
        <xdr:cNvPr id="1" name="Chart 2"/>
        <xdr:cNvGraphicFramePr/>
      </xdr:nvGraphicFramePr>
      <xdr:xfrm>
        <a:off x="3876840" y="16765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8</xdr:row>
      <xdr:rowOff>0</xdr:rowOff>
    </xdr:from>
    <xdr:to>
      <xdr:col>26</xdr:col>
      <xdr:colOff>392400</xdr:colOff>
      <xdr:row>24</xdr:row>
      <xdr:rowOff>11880</xdr:rowOff>
    </xdr:to>
    <xdr:graphicFrame>
      <xdr:nvGraphicFramePr>
        <xdr:cNvPr id="2" name="Chart 3"/>
        <xdr:cNvGraphicFramePr/>
      </xdr:nvGraphicFramePr>
      <xdr:xfrm>
        <a:off x="7753320" y="1676520"/>
        <a:ext cx="111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6</xdr:col>
      <xdr:colOff>747720</xdr:colOff>
      <xdr:row>40</xdr:row>
      <xdr:rowOff>11520</xdr:rowOff>
    </xdr:to>
    <xdr:graphicFrame>
      <xdr:nvGraphicFramePr>
        <xdr:cNvPr id="3" name="Chart 4"/>
        <xdr:cNvGraphicFramePr/>
      </xdr:nvGraphicFramePr>
      <xdr:xfrm>
        <a:off x="0" y="47242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24</xdr:row>
      <xdr:rowOff>0</xdr:rowOff>
    </xdr:from>
    <xdr:to>
      <xdr:col>11</xdr:col>
      <xdr:colOff>747720</xdr:colOff>
      <xdr:row>40</xdr:row>
      <xdr:rowOff>11520</xdr:rowOff>
    </xdr:to>
    <xdr:graphicFrame>
      <xdr:nvGraphicFramePr>
        <xdr:cNvPr id="4" name="Chart 5"/>
        <xdr:cNvGraphicFramePr/>
      </xdr:nvGraphicFramePr>
      <xdr:xfrm>
        <a:off x="3876840" y="47242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24</xdr:row>
      <xdr:rowOff>0</xdr:rowOff>
    </xdr:from>
    <xdr:to>
      <xdr:col>17</xdr:col>
      <xdr:colOff>136080</xdr:colOff>
      <xdr:row>40</xdr:row>
      <xdr:rowOff>11520</xdr:rowOff>
    </xdr:to>
    <xdr:graphicFrame>
      <xdr:nvGraphicFramePr>
        <xdr:cNvPr id="5" name="Chart 6"/>
        <xdr:cNvGraphicFramePr/>
      </xdr:nvGraphicFramePr>
      <xdr:xfrm>
        <a:off x="7753320" y="47242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customFormat="false" ht="18" hidden="false" customHeight="true" outlineLevel="0" collapsed="false">
      <c r="A4" s="2" t="s">
        <v>1</v>
      </c>
      <c r="B4" s="2"/>
      <c r="C4" s="2"/>
      <c r="E4" s="2" t="s">
        <v>2</v>
      </c>
      <c r="F4" s="2"/>
      <c r="G4" s="2"/>
      <c r="I4" s="2" t="s">
        <v>3</v>
      </c>
      <c r="J4" s="2"/>
      <c r="K4" s="2"/>
      <c r="M4" s="2" t="s">
        <v>4</v>
      </c>
      <c r="N4" s="2"/>
      <c r="O4" s="2"/>
    </row>
    <row r="5" customFormat="false" ht="18" hidden="false" customHeight="true" outlineLevel="0" collapsed="false">
      <c r="A5" s="3" t="n">
        <f aca="false">SUM('Cleaned Data'!$N$2:$N$651)</f>
        <v>883903.36</v>
      </c>
      <c r="B5" s="3"/>
      <c r="C5" s="3"/>
      <c r="E5" s="3" t="n">
        <f aca="false">SUM('Cleaned Data'!$O$2:$O$651)</f>
        <v>102358.47</v>
      </c>
      <c r="F5" s="3"/>
      <c r="G5" s="3"/>
      <c r="I5" s="4" t="n">
        <f aca="false">COUNTA('Cleaned Data'!$A$2:$A$651)</f>
        <v>650</v>
      </c>
      <c r="J5" s="4"/>
      <c r="K5" s="4"/>
      <c r="M5" s="5" t="n">
        <f aca="false">AVERAGE('Cleaned Data'!$N$2:$N$651)</f>
        <v>1359.85132307692</v>
      </c>
      <c r="N5" s="5"/>
      <c r="O5" s="5"/>
    </row>
    <row r="6" customFormat="false" ht="18" hidden="false" customHeight="true" outlineLevel="0" collapsed="false">
      <c r="A6" s="3"/>
      <c r="B6" s="3"/>
      <c r="C6" s="3"/>
      <c r="E6" s="3"/>
      <c r="F6" s="3"/>
      <c r="G6" s="3"/>
      <c r="I6" s="4"/>
      <c r="J6" s="4"/>
      <c r="K6" s="4"/>
      <c r="M6" s="5"/>
      <c r="N6" s="5"/>
      <c r="O6" s="5"/>
    </row>
    <row r="7" customFormat="false" ht="18" hidden="false" customHeight="true" outlineLevel="0" collapsed="false">
      <c r="A7" s="3"/>
      <c r="B7" s="3"/>
      <c r="C7" s="3"/>
      <c r="E7" s="3"/>
      <c r="F7" s="3"/>
      <c r="G7" s="3"/>
      <c r="I7" s="4"/>
      <c r="J7" s="4"/>
      <c r="K7" s="4"/>
      <c r="M7" s="5"/>
      <c r="N7" s="5"/>
      <c r="O7" s="5"/>
    </row>
  </sheetData>
  <mergeCells count="9">
    <mergeCell ref="A1:P2"/>
    <mergeCell ref="A4:C4"/>
    <mergeCell ref="E4:G4"/>
    <mergeCell ref="I4:K4"/>
    <mergeCell ref="M4:O4"/>
    <mergeCell ref="A5:C7"/>
    <mergeCell ref="E5:G7"/>
    <mergeCell ref="I5:K7"/>
    <mergeCell ref="M5:O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" width="12"/>
    <col collapsed="false" customWidth="true" hidden="false" outlineLevel="0" max="3" min="2" style="6" width="14"/>
    <col collapsed="false" customWidth="true" hidden="false" outlineLevel="0" max="4" min="4" style="6" width="18"/>
    <col collapsed="false" customWidth="true" hidden="false" outlineLevel="0" max="5" min="5" style="6" width="14"/>
    <col collapsed="false" customWidth="true" hidden="false" outlineLevel="0" max="6" min="6" style="6" width="10"/>
    <col collapsed="false" customWidth="true" hidden="false" outlineLevel="0" max="7" min="7" style="6" width="14"/>
    <col collapsed="false" customWidth="true" hidden="false" outlineLevel="0" max="10" min="8" style="6" width="16"/>
    <col collapsed="false" customWidth="true" hidden="false" outlineLevel="0" max="11" min="11" style="6" width="10"/>
    <col collapsed="false" customWidth="true" hidden="false" outlineLevel="0" max="12" min="12" style="6" width="11"/>
    <col collapsed="false" customWidth="true" hidden="false" outlineLevel="0" max="13" min="13" style="6" width="10"/>
    <col collapsed="false" customWidth="true" hidden="false" outlineLevel="0" max="15" min="14" style="6" width="12"/>
  </cols>
  <sheetData>
    <row r="1" customFormat="false" ht="15" hidden="false" customHeight="true" outlineLevel="0" collapsed="false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</row>
    <row r="2" customFormat="false" ht="15" hidden="false" customHeight="true" outlineLevel="0" collapsed="false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n">
        <v>4</v>
      </c>
      <c r="L2" s="8" t="n">
        <v>425.62</v>
      </c>
      <c r="M2" s="8" t="n">
        <v>0.15</v>
      </c>
      <c r="N2" s="8" t="n">
        <v>1447.11</v>
      </c>
      <c r="O2" s="8" t="n">
        <v>-67.96</v>
      </c>
    </row>
    <row r="3" customFormat="false" ht="15" hidden="false" customHeight="true" outlineLevel="0" collapsed="false">
      <c r="A3" s="8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8" t="s">
        <v>39</v>
      </c>
      <c r="K3" s="8"/>
      <c r="L3" s="8" t="n">
        <v>331.25</v>
      </c>
      <c r="M3" s="8"/>
      <c r="N3" s="8" t="n">
        <v>331.25</v>
      </c>
      <c r="O3" s="8" t="n">
        <v>37.91</v>
      </c>
    </row>
    <row r="4" customFormat="false" ht="15" hidden="false" customHeight="true" outlineLevel="0" collapsed="false">
      <c r="A4" s="8" t="s">
        <v>40</v>
      </c>
      <c r="B4" s="8" t="s">
        <v>41</v>
      </c>
      <c r="C4" s="8" t="s">
        <v>42</v>
      </c>
      <c r="D4" s="8" t="s">
        <v>43</v>
      </c>
      <c r="E4" s="8" t="s">
        <v>24</v>
      </c>
      <c r="F4" s="8" t="s">
        <v>44</v>
      </c>
      <c r="G4" s="8" t="s">
        <v>36</v>
      </c>
      <c r="H4" s="8" t="s">
        <v>45</v>
      </c>
      <c r="I4" s="8" t="s">
        <v>46</v>
      </c>
      <c r="J4" s="8" t="s">
        <v>47</v>
      </c>
      <c r="K4" s="8" t="n">
        <v>2</v>
      </c>
      <c r="L4" s="8" t="n">
        <v>1149.48</v>
      </c>
      <c r="M4" s="8" t="n">
        <v>0.15</v>
      </c>
      <c r="N4" s="8" t="n">
        <v>1954.12</v>
      </c>
      <c r="O4" s="8" t="n">
        <v>189.53</v>
      </c>
    </row>
    <row r="5" customFormat="false" ht="15" hidden="false" customHeight="true" outlineLevel="0" collapsed="false">
      <c r="A5" s="8" t="s">
        <v>48</v>
      </c>
      <c r="B5" s="8" t="s">
        <v>49</v>
      </c>
      <c r="C5" s="8" t="s">
        <v>50</v>
      </c>
      <c r="D5" s="8" t="s">
        <v>51</v>
      </c>
      <c r="E5" s="8" t="s">
        <v>52</v>
      </c>
      <c r="F5" s="8" t="s">
        <v>53</v>
      </c>
      <c r="G5" s="8" t="s">
        <v>54</v>
      </c>
      <c r="H5" s="8" t="s">
        <v>55</v>
      </c>
      <c r="I5" s="8" t="s">
        <v>56</v>
      </c>
      <c r="J5" s="8" t="s">
        <v>39</v>
      </c>
      <c r="K5" s="8" t="n">
        <v>2</v>
      </c>
      <c r="L5" s="8" t="n">
        <v>28.81</v>
      </c>
      <c r="M5" s="8" t="n">
        <v>0.15</v>
      </c>
      <c r="N5" s="8" t="n">
        <v>48.98</v>
      </c>
      <c r="O5" s="8" t="n">
        <v>-4.42</v>
      </c>
    </row>
    <row r="6" customFormat="false" ht="15" hidden="false" customHeight="true" outlineLevel="0" collapsed="false">
      <c r="A6" s="8" t="s">
        <v>57</v>
      </c>
      <c r="B6" s="8" t="s">
        <v>58</v>
      </c>
      <c r="C6" s="8" t="s">
        <v>59</v>
      </c>
      <c r="D6" s="8" t="s">
        <v>60</v>
      </c>
      <c r="E6" s="8"/>
      <c r="F6" s="8" t="s">
        <v>61</v>
      </c>
      <c r="G6" s="8" t="s">
        <v>62</v>
      </c>
      <c r="H6" s="8" t="s">
        <v>55</v>
      </c>
      <c r="I6" s="8" t="s">
        <v>63</v>
      </c>
      <c r="J6" s="8" t="s">
        <v>64</v>
      </c>
      <c r="K6" s="8" t="n">
        <v>5</v>
      </c>
      <c r="L6" s="8" t="n">
        <v>265.31</v>
      </c>
      <c r="M6" s="8" t="n">
        <v>0.15</v>
      </c>
      <c r="N6" s="8" t="n">
        <v>1127.57</v>
      </c>
      <c r="O6" s="8" t="n">
        <v>340.94</v>
      </c>
    </row>
    <row r="7" customFormat="false" ht="15" hidden="false" customHeight="true" outlineLevel="0" collapsed="false">
      <c r="A7" s="8" t="s">
        <v>65</v>
      </c>
      <c r="B7" s="8" t="s">
        <v>66</v>
      </c>
      <c r="C7" s="8" t="s">
        <v>67</v>
      </c>
      <c r="D7" s="8" t="s">
        <v>68</v>
      </c>
      <c r="E7" s="8" t="s">
        <v>52</v>
      </c>
      <c r="F7" s="8" t="s">
        <v>69</v>
      </c>
      <c r="G7" s="8" t="s">
        <v>26</v>
      </c>
      <c r="H7" s="8" t="s">
        <v>70</v>
      </c>
      <c r="I7" s="8" t="s">
        <v>71</v>
      </c>
      <c r="J7" s="8" t="s">
        <v>29</v>
      </c>
      <c r="K7" s="8" t="n">
        <v>2</v>
      </c>
      <c r="L7" s="8" t="n">
        <v>682.48</v>
      </c>
      <c r="M7" s="8" t="n">
        <v>0</v>
      </c>
      <c r="N7" s="8" t="n">
        <v>1364.96</v>
      </c>
      <c r="O7" s="8" t="n">
        <v>366.17</v>
      </c>
    </row>
    <row r="8" customFormat="false" ht="15" hidden="false" customHeight="true" outlineLevel="0" collapsed="false">
      <c r="A8" s="8" t="s">
        <v>72</v>
      </c>
      <c r="B8" s="8" t="s">
        <v>73</v>
      </c>
      <c r="C8" s="8" t="s">
        <v>74</v>
      </c>
      <c r="D8" s="8" t="s">
        <v>75</v>
      </c>
      <c r="E8" s="8" t="s">
        <v>24</v>
      </c>
      <c r="F8" s="8" t="s">
        <v>44</v>
      </c>
      <c r="G8" s="8" t="s">
        <v>76</v>
      </c>
      <c r="H8" s="8" t="s">
        <v>77</v>
      </c>
      <c r="I8" s="8" t="s">
        <v>78</v>
      </c>
      <c r="J8" s="8" t="s">
        <v>29</v>
      </c>
      <c r="K8" s="8"/>
      <c r="L8" s="8" t="n">
        <v>797.58</v>
      </c>
      <c r="M8" s="8"/>
      <c r="N8" s="8" t="n">
        <v>797.58</v>
      </c>
      <c r="O8" s="8" t="n">
        <v>1.76</v>
      </c>
    </row>
    <row r="9" customFormat="false" ht="15" hidden="false" customHeight="true" outlineLevel="0" collapsed="false">
      <c r="A9" s="8" t="s">
        <v>79</v>
      </c>
      <c r="B9" s="8" t="s">
        <v>80</v>
      </c>
      <c r="C9" s="8" t="s">
        <v>81</v>
      </c>
      <c r="D9" s="8"/>
      <c r="E9" s="8" t="s">
        <v>24</v>
      </c>
      <c r="F9" s="8" t="s">
        <v>69</v>
      </c>
      <c r="G9" s="8" t="s">
        <v>82</v>
      </c>
      <c r="H9" s="8" t="s">
        <v>83</v>
      </c>
      <c r="I9" s="8" t="s">
        <v>84</v>
      </c>
      <c r="J9" s="8" t="s">
        <v>39</v>
      </c>
      <c r="K9" s="8" t="n">
        <v>5</v>
      </c>
      <c r="L9" s="8" t="n">
        <v>767.54</v>
      </c>
      <c r="M9" s="8"/>
      <c r="N9" s="8" t="n">
        <v>3837.7</v>
      </c>
      <c r="O9" s="8" t="n">
        <v>396.96</v>
      </c>
    </row>
    <row r="10" customFormat="false" ht="15" hidden="false" customHeight="true" outlineLevel="0" collapsed="false">
      <c r="A10" s="8" t="s">
        <v>85</v>
      </c>
      <c r="B10" s="8" t="s">
        <v>86</v>
      </c>
      <c r="C10" s="8" t="s">
        <v>87</v>
      </c>
      <c r="D10" s="8" t="s">
        <v>88</v>
      </c>
      <c r="E10" s="8" t="s">
        <v>52</v>
      </c>
      <c r="F10" s="8" t="s">
        <v>69</v>
      </c>
      <c r="G10" s="8" t="s">
        <v>89</v>
      </c>
      <c r="H10" s="8" t="s">
        <v>77</v>
      </c>
      <c r="I10" s="8" t="s">
        <v>71</v>
      </c>
      <c r="J10" s="8" t="s">
        <v>39</v>
      </c>
      <c r="K10" s="8" t="n">
        <v>2</v>
      </c>
      <c r="L10" s="8" t="n">
        <v>133.84</v>
      </c>
      <c r="M10" s="8"/>
      <c r="N10" s="8" t="n">
        <v>267.68</v>
      </c>
      <c r="O10" s="8" t="n">
        <v>-25.53</v>
      </c>
    </row>
    <row r="11" customFormat="false" ht="15" hidden="false" customHeight="true" outlineLevel="0" collapsed="false">
      <c r="A11" s="8" t="s">
        <v>90</v>
      </c>
      <c r="B11" s="8" t="s">
        <v>91</v>
      </c>
      <c r="C11" s="8" t="s">
        <v>92</v>
      </c>
      <c r="D11" s="8" t="s">
        <v>93</v>
      </c>
      <c r="E11" s="8" t="s">
        <v>52</v>
      </c>
      <c r="F11" s="8" t="s">
        <v>94</v>
      </c>
      <c r="G11" s="8" t="s">
        <v>54</v>
      </c>
      <c r="H11" s="8" t="s">
        <v>95</v>
      </c>
      <c r="I11" s="8" t="s">
        <v>96</v>
      </c>
      <c r="J11" s="8" t="s">
        <v>39</v>
      </c>
      <c r="K11" s="8"/>
      <c r="L11" s="8" t="n">
        <v>609.66</v>
      </c>
      <c r="M11" s="8"/>
      <c r="N11" s="8" t="n">
        <v>609.66</v>
      </c>
      <c r="O11" s="8" t="n">
        <v>150.14</v>
      </c>
    </row>
    <row r="12" customFormat="false" ht="15" hidden="false" customHeight="true" outlineLevel="0" collapsed="false">
      <c r="A12" s="8" t="s">
        <v>97</v>
      </c>
      <c r="B12" s="8" t="s">
        <v>98</v>
      </c>
      <c r="C12" s="8" t="s">
        <v>99</v>
      </c>
      <c r="D12" s="8" t="s">
        <v>100</v>
      </c>
      <c r="E12" s="8" t="s">
        <v>34</v>
      </c>
      <c r="F12" s="8" t="s">
        <v>101</v>
      </c>
      <c r="G12" s="8" t="s">
        <v>102</v>
      </c>
      <c r="H12" s="8" t="s">
        <v>103</v>
      </c>
      <c r="I12" s="8" t="s">
        <v>104</v>
      </c>
      <c r="J12" s="8" t="s">
        <v>47</v>
      </c>
      <c r="K12" s="8" t="n">
        <v>2</v>
      </c>
      <c r="L12" s="8" t="n">
        <v>1071.37</v>
      </c>
      <c r="M12" s="8"/>
      <c r="N12" s="8" t="n">
        <v>2142.74</v>
      </c>
      <c r="O12" s="8"/>
    </row>
    <row r="13" customFormat="false" ht="15" hidden="false" customHeight="true" outlineLevel="0" collapsed="false">
      <c r="A13" s="8" t="s">
        <v>105</v>
      </c>
      <c r="B13" s="8" t="s">
        <v>106</v>
      </c>
      <c r="C13" s="8" t="s">
        <v>107</v>
      </c>
      <c r="D13" s="8" t="s">
        <v>108</v>
      </c>
      <c r="E13" s="8" t="s">
        <v>34</v>
      </c>
      <c r="F13" s="8" t="s">
        <v>25</v>
      </c>
      <c r="G13" s="8" t="s">
        <v>82</v>
      </c>
      <c r="H13" s="8" t="s">
        <v>95</v>
      </c>
      <c r="I13" s="8" t="s">
        <v>109</v>
      </c>
      <c r="J13" s="8" t="s">
        <v>64</v>
      </c>
      <c r="K13" s="8" t="n">
        <v>1</v>
      </c>
      <c r="L13" s="8" t="n">
        <v>941.12</v>
      </c>
      <c r="M13" s="8" t="n">
        <v>0.05</v>
      </c>
      <c r="N13" s="8" t="n">
        <v>894.06</v>
      </c>
      <c r="O13" s="8" t="n">
        <v>-34.3</v>
      </c>
    </row>
    <row r="14" customFormat="false" ht="15" hidden="false" customHeight="true" outlineLevel="0" collapsed="false">
      <c r="A14" s="8" t="s">
        <v>110</v>
      </c>
      <c r="B14" s="8" t="s">
        <v>111</v>
      </c>
      <c r="C14" s="8" t="s">
        <v>112</v>
      </c>
      <c r="D14" s="8" t="s">
        <v>113</v>
      </c>
      <c r="E14" s="8" t="s">
        <v>52</v>
      </c>
      <c r="F14" s="8" t="s">
        <v>44</v>
      </c>
      <c r="G14" s="8" t="s">
        <v>36</v>
      </c>
      <c r="H14" s="8" t="s">
        <v>114</v>
      </c>
      <c r="I14" s="8" t="s">
        <v>115</v>
      </c>
      <c r="J14" s="8" t="s">
        <v>39</v>
      </c>
      <c r="K14" s="8" t="n">
        <v>2</v>
      </c>
      <c r="L14" s="8" t="n">
        <v>715.98</v>
      </c>
      <c r="M14" s="8" t="n">
        <v>0.15</v>
      </c>
      <c r="N14" s="8" t="n">
        <v>1217.17</v>
      </c>
      <c r="O14" s="8" t="n">
        <v>394.91</v>
      </c>
    </row>
    <row r="15" customFormat="false" ht="15" hidden="false" customHeight="true" outlineLevel="0" collapsed="false">
      <c r="A15" s="8" t="s">
        <v>116</v>
      </c>
      <c r="B15" s="8" t="s">
        <v>117</v>
      </c>
      <c r="C15" s="8" t="s">
        <v>118</v>
      </c>
      <c r="D15" s="8"/>
      <c r="E15" s="8"/>
      <c r="F15" s="8" t="s">
        <v>101</v>
      </c>
      <c r="G15" s="8" t="s">
        <v>119</v>
      </c>
      <c r="H15" s="8" t="s">
        <v>120</v>
      </c>
      <c r="I15" s="8" t="s">
        <v>121</v>
      </c>
      <c r="J15" s="8" t="s">
        <v>64</v>
      </c>
      <c r="K15" s="8" t="n">
        <v>1</v>
      </c>
      <c r="L15" s="8" t="n">
        <v>1088.78</v>
      </c>
      <c r="M15" s="8" t="n">
        <v>0.2</v>
      </c>
      <c r="N15" s="8" t="n">
        <v>871.02</v>
      </c>
      <c r="O15" s="8" t="n">
        <v>252.67</v>
      </c>
    </row>
    <row r="16" customFormat="false" ht="15" hidden="false" customHeight="true" outlineLevel="0" collapsed="false">
      <c r="A16" s="8" t="s">
        <v>122</v>
      </c>
      <c r="B16" s="8" t="s">
        <v>123</v>
      </c>
      <c r="C16" s="8" t="s">
        <v>124</v>
      </c>
      <c r="D16" s="8" t="s">
        <v>125</v>
      </c>
      <c r="E16" s="8" t="s">
        <v>24</v>
      </c>
      <c r="F16" s="8" t="s">
        <v>126</v>
      </c>
      <c r="G16" s="8" t="s">
        <v>89</v>
      </c>
      <c r="H16" s="8" t="s">
        <v>77</v>
      </c>
      <c r="I16" s="8" t="s">
        <v>127</v>
      </c>
      <c r="J16" s="8" t="s">
        <v>39</v>
      </c>
      <c r="K16" s="8" t="n">
        <v>4</v>
      </c>
      <c r="L16" s="8" t="n">
        <v>994.68</v>
      </c>
      <c r="M16" s="8" t="n">
        <v>0.15</v>
      </c>
      <c r="N16" s="8" t="n">
        <v>3381.91</v>
      </c>
      <c r="O16" s="8" t="n">
        <v>325.15</v>
      </c>
    </row>
    <row r="17" customFormat="false" ht="15" hidden="false" customHeight="true" outlineLevel="0" collapsed="false">
      <c r="A17" s="8" t="s">
        <v>128</v>
      </c>
      <c r="B17" s="8" t="s">
        <v>129</v>
      </c>
      <c r="C17" s="8" t="s">
        <v>130</v>
      </c>
      <c r="D17" s="8" t="s">
        <v>131</v>
      </c>
      <c r="E17" s="8" t="s">
        <v>24</v>
      </c>
      <c r="F17" s="8" t="s">
        <v>53</v>
      </c>
      <c r="G17" s="8" t="s">
        <v>54</v>
      </c>
      <c r="H17" s="8" t="s">
        <v>132</v>
      </c>
      <c r="I17" s="8" t="s">
        <v>133</v>
      </c>
      <c r="J17" s="8" t="s">
        <v>39</v>
      </c>
      <c r="K17" s="8" t="n">
        <v>2</v>
      </c>
      <c r="L17" s="8" t="n">
        <v>281.89</v>
      </c>
      <c r="M17" s="8"/>
      <c r="N17" s="8" t="n">
        <v>563.78</v>
      </c>
      <c r="O17" s="8" t="n">
        <v>171.9</v>
      </c>
    </row>
    <row r="18" customFormat="false" ht="15" hidden="false" customHeight="true" outlineLevel="0" collapsed="false">
      <c r="A18" s="8" t="s">
        <v>134</v>
      </c>
      <c r="B18" s="8" t="s">
        <v>135</v>
      </c>
      <c r="C18" s="8" t="s">
        <v>136</v>
      </c>
      <c r="D18" s="8" t="s">
        <v>137</v>
      </c>
      <c r="E18" s="8"/>
      <c r="F18" s="8" t="s">
        <v>25</v>
      </c>
      <c r="G18" s="8" t="s">
        <v>82</v>
      </c>
      <c r="H18" s="8" t="s">
        <v>27</v>
      </c>
      <c r="I18" s="8" t="s">
        <v>138</v>
      </c>
      <c r="J18" s="8" t="s">
        <v>29</v>
      </c>
      <c r="K18" s="8" t="n">
        <v>2</v>
      </c>
      <c r="L18" s="8" t="n">
        <v>590.12</v>
      </c>
      <c r="M18" s="8" t="n">
        <v>0.05</v>
      </c>
      <c r="N18" s="8" t="n">
        <v>1121.23</v>
      </c>
      <c r="O18" s="8" t="n">
        <v>-13.67</v>
      </c>
    </row>
    <row r="19" customFormat="false" ht="15" hidden="false" customHeight="true" outlineLevel="0" collapsed="false">
      <c r="A19" s="8" t="s">
        <v>139</v>
      </c>
      <c r="B19" s="8" t="s">
        <v>140</v>
      </c>
      <c r="C19" s="8" t="s">
        <v>141</v>
      </c>
      <c r="D19" s="8"/>
      <c r="E19" s="8" t="s">
        <v>52</v>
      </c>
      <c r="F19" s="8" t="s">
        <v>44</v>
      </c>
      <c r="G19" s="8" t="s">
        <v>62</v>
      </c>
      <c r="H19" s="8" t="s">
        <v>142</v>
      </c>
      <c r="I19" s="8" t="s">
        <v>143</v>
      </c>
      <c r="J19" s="8" t="s">
        <v>39</v>
      </c>
      <c r="K19" s="8" t="n">
        <v>3</v>
      </c>
      <c r="L19" s="8" t="n">
        <v>363.84</v>
      </c>
      <c r="M19" s="8" t="n">
        <v>0.2</v>
      </c>
      <c r="N19" s="8" t="n">
        <v>873.22</v>
      </c>
      <c r="O19" s="8" t="n">
        <v>68.31</v>
      </c>
    </row>
    <row r="20" customFormat="false" ht="15" hidden="false" customHeight="true" outlineLevel="0" collapsed="false">
      <c r="A20" s="8" t="s">
        <v>144</v>
      </c>
      <c r="B20" s="8" t="s">
        <v>145</v>
      </c>
      <c r="C20" s="8" t="s">
        <v>146</v>
      </c>
      <c r="D20" s="8"/>
      <c r="E20" s="8" t="s">
        <v>34</v>
      </c>
      <c r="F20" s="8" t="s">
        <v>147</v>
      </c>
      <c r="G20" s="8" t="s">
        <v>54</v>
      </c>
      <c r="H20" s="8" t="s">
        <v>148</v>
      </c>
      <c r="I20" s="8" t="s">
        <v>149</v>
      </c>
      <c r="J20" s="8" t="s">
        <v>39</v>
      </c>
      <c r="K20" s="8" t="n">
        <v>5</v>
      </c>
      <c r="L20" s="8" t="n">
        <v>543.87</v>
      </c>
      <c r="M20" s="8" t="n">
        <v>0.1</v>
      </c>
      <c r="N20" s="8" t="n">
        <v>2447.41</v>
      </c>
      <c r="O20" s="8" t="n">
        <v>458.86</v>
      </c>
    </row>
    <row r="21" customFormat="false" ht="15" hidden="false" customHeight="true" outlineLevel="0" collapsed="false">
      <c r="A21" s="8" t="s">
        <v>150</v>
      </c>
      <c r="B21" s="8" t="s">
        <v>151</v>
      </c>
      <c r="C21" s="8" t="s">
        <v>152</v>
      </c>
      <c r="D21" s="8" t="s">
        <v>153</v>
      </c>
      <c r="E21" s="8" t="s">
        <v>34</v>
      </c>
      <c r="F21" s="8" t="s">
        <v>154</v>
      </c>
      <c r="G21" s="8" t="s">
        <v>119</v>
      </c>
      <c r="H21" s="8" t="s">
        <v>155</v>
      </c>
      <c r="I21" s="8" t="s">
        <v>149</v>
      </c>
      <c r="J21" s="8" t="s">
        <v>39</v>
      </c>
      <c r="K21" s="8" t="n">
        <v>1</v>
      </c>
      <c r="L21" s="8" t="n">
        <v>138.08</v>
      </c>
      <c r="M21" s="8" t="n">
        <v>0</v>
      </c>
      <c r="N21" s="8" t="n">
        <v>138.08</v>
      </c>
      <c r="O21" s="8"/>
    </row>
    <row r="22" customFormat="false" ht="15" hidden="false" customHeight="true" outlineLevel="0" collapsed="false">
      <c r="A22" s="8" t="s">
        <v>156</v>
      </c>
      <c r="B22" s="8" t="s">
        <v>157</v>
      </c>
      <c r="C22" s="8" t="s">
        <v>158</v>
      </c>
      <c r="D22" s="8" t="s">
        <v>159</v>
      </c>
      <c r="E22" s="8"/>
      <c r="F22" s="8" t="s">
        <v>61</v>
      </c>
      <c r="G22" s="8" t="s">
        <v>62</v>
      </c>
      <c r="H22" s="8" t="s">
        <v>155</v>
      </c>
      <c r="I22" s="8" t="s">
        <v>160</v>
      </c>
      <c r="J22" s="8" t="s">
        <v>39</v>
      </c>
      <c r="K22" s="8" t="n">
        <v>1</v>
      </c>
      <c r="L22" s="8" t="n">
        <v>367.5</v>
      </c>
      <c r="M22" s="8"/>
      <c r="N22" s="8" t="n">
        <v>367.5</v>
      </c>
      <c r="O22" s="8" t="n">
        <v>42.42</v>
      </c>
    </row>
    <row r="23" customFormat="false" ht="15" hidden="false" customHeight="true" outlineLevel="0" collapsed="false">
      <c r="A23" s="8" t="s">
        <v>161</v>
      </c>
      <c r="B23" s="8" t="s">
        <v>162</v>
      </c>
      <c r="C23" s="8" t="s">
        <v>163</v>
      </c>
      <c r="D23" s="8" t="s">
        <v>164</v>
      </c>
      <c r="E23" s="8"/>
      <c r="F23" s="8" t="s">
        <v>35</v>
      </c>
      <c r="G23" s="8" t="s">
        <v>76</v>
      </c>
      <c r="H23" s="8" t="s">
        <v>83</v>
      </c>
      <c r="I23" s="8" t="s">
        <v>38</v>
      </c>
      <c r="J23" s="8" t="s">
        <v>47</v>
      </c>
      <c r="K23" s="8" t="n">
        <v>2</v>
      </c>
      <c r="L23" s="8" t="n">
        <v>856.91</v>
      </c>
      <c r="M23" s="8"/>
      <c r="N23" s="8" t="n">
        <v>1713.82</v>
      </c>
      <c r="O23" s="8" t="n">
        <v>179.97</v>
      </c>
    </row>
    <row r="24" customFormat="false" ht="15" hidden="false" customHeight="true" outlineLevel="0" collapsed="false">
      <c r="A24" s="8" t="s">
        <v>165</v>
      </c>
      <c r="B24" s="8" t="s">
        <v>166</v>
      </c>
      <c r="C24" s="8" t="s">
        <v>167</v>
      </c>
      <c r="D24" s="8" t="s">
        <v>168</v>
      </c>
      <c r="E24" s="8" t="s">
        <v>52</v>
      </c>
      <c r="F24" s="8" t="s">
        <v>126</v>
      </c>
      <c r="G24" s="8" t="s">
        <v>82</v>
      </c>
      <c r="H24" s="8" t="s">
        <v>70</v>
      </c>
      <c r="I24" s="8" t="s">
        <v>121</v>
      </c>
      <c r="J24" s="8" t="s">
        <v>39</v>
      </c>
      <c r="K24" s="8" t="n">
        <v>1</v>
      </c>
      <c r="L24" s="8" t="n">
        <v>243.02</v>
      </c>
      <c r="M24" s="8"/>
      <c r="N24" s="8" t="n">
        <v>243.02</v>
      </c>
      <c r="O24" s="8" t="n">
        <v>44.5</v>
      </c>
    </row>
    <row r="25" customFormat="false" ht="15" hidden="false" customHeight="true" outlineLevel="0" collapsed="false">
      <c r="A25" s="8" t="s">
        <v>169</v>
      </c>
      <c r="B25" s="8" t="s">
        <v>170</v>
      </c>
      <c r="C25" s="8" t="s">
        <v>171</v>
      </c>
      <c r="D25" s="8" t="s">
        <v>172</v>
      </c>
      <c r="E25" s="8" t="s">
        <v>34</v>
      </c>
      <c r="F25" s="8" t="s">
        <v>173</v>
      </c>
      <c r="G25" s="8" t="s">
        <v>102</v>
      </c>
      <c r="H25" s="8" t="s">
        <v>155</v>
      </c>
      <c r="I25" s="8" t="s">
        <v>138</v>
      </c>
      <c r="J25" s="8" t="s">
        <v>39</v>
      </c>
      <c r="K25" s="8" t="n">
        <v>2</v>
      </c>
      <c r="L25" s="8" t="n">
        <v>94.77</v>
      </c>
      <c r="M25" s="8"/>
      <c r="N25" s="8" t="n">
        <v>189.54</v>
      </c>
      <c r="O25" s="8" t="n">
        <v>59.01</v>
      </c>
    </row>
    <row r="26" customFormat="false" ht="15" hidden="false" customHeight="true" outlineLevel="0" collapsed="false">
      <c r="A26" s="8" t="s">
        <v>174</v>
      </c>
      <c r="B26" s="8" t="s">
        <v>175</v>
      </c>
      <c r="C26" s="8" t="s">
        <v>176</v>
      </c>
      <c r="D26" s="8" t="s">
        <v>177</v>
      </c>
      <c r="E26" s="8" t="s">
        <v>34</v>
      </c>
      <c r="F26" s="8" t="s">
        <v>173</v>
      </c>
      <c r="G26" s="8" t="s">
        <v>119</v>
      </c>
      <c r="H26" s="8" t="s">
        <v>142</v>
      </c>
      <c r="I26" s="8" t="s">
        <v>143</v>
      </c>
      <c r="J26" s="8" t="s">
        <v>29</v>
      </c>
      <c r="K26" s="8" t="n">
        <v>1</v>
      </c>
      <c r="L26" s="8" t="n">
        <v>231.8</v>
      </c>
      <c r="M26" s="8" t="n">
        <v>0.1</v>
      </c>
      <c r="N26" s="8" t="n">
        <v>208.62</v>
      </c>
      <c r="O26" s="8" t="n">
        <v>-12.1</v>
      </c>
    </row>
    <row r="27" customFormat="false" ht="15" hidden="false" customHeight="true" outlineLevel="0" collapsed="false">
      <c r="A27" s="8" t="s">
        <v>178</v>
      </c>
      <c r="B27" s="8" t="s">
        <v>179</v>
      </c>
      <c r="C27" s="8" t="s">
        <v>180</v>
      </c>
      <c r="D27" s="8" t="s">
        <v>181</v>
      </c>
      <c r="E27" s="8" t="s">
        <v>52</v>
      </c>
      <c r="F27" s="8" t="s">
        <v>154</v>
      </c>
      <c r="G27" s="8" t="s">
        <v>182</v>
      </c>
      <c r="H27" s="8" t="s">
        <v>148</v>
      </c>
      <c r="I27" s="8" t="s">
        <v>46</v>
      </c>
      <c r="J27" s="8" t="s">
        <v>39</v>
      </c>
      <c r="K27" s="8"/>
      <c r="L27" s="8" t="n">
        <v>464.67</v>
      </c>
      <c r="M27" s="8"/>
      <c r="N27" s="8" t="n">
        <v>464.67</v>
      </c>
      <c r="O27" s="8" t="n">
        <v>65.97</v>
      </c>
    </row>
    <row r="28" customFormat="false" ht="15" hidden="false" customHeight="true" outlineLevel="0" collapsed="false">
      <c r="A28" s="8" t="s">
        <v>183</v>
      </c>
      <c r="B28" s="8" t="s">
        <v>184</v>
      </c>
      <c r="C28" s="8" t="s">
        <v>185</v>
      </c>
      <c r="D28" s="8" t="s">
        <v>186</v>
      </c>
      <c r="E28" s="8" t="s">
        <v>52</v>
      </c>
      <c r="F28" s="8" t="s">
        <v>25</v>
      </c>
      <c r="G28" s="8" t="s">
        <v>82</v>
      </c>
      <c r="H28" s="8" t="s">
        <v>77</v>
      </c>
      <c r="I28" s="8" t="s">
        <v>121</v>
      </c>
      <c r="J28" s="8" t="s">
        <v>29</v>
      </c>
      <c r="K28" s="8" t="n">
        <v>2</v>
      </c>
      <c r="L28" s="8" t="n">
        <v>1111.23</v>
      </c>
      <c r="M28" s="8" t="n">
        <v>0.05</v>
      </c>
      <c r="N28" s="8" t="n">
        <v>2111.34</v>
      </c>
      <c r="O28" s="8" t="n">
        <v>-133.69</v>
      </c>
    </row>
    <row r="29" customFormat="false" ht="15" hidden="false" customHeight="true" outlineLevel="0" collapsed="false">
      <c r="A29" s="8" t="s">
        <v>187</v>
      </c>
      <c r="B29" s="8" t="s">
        <v>188</v>
      </c>
      <c r="C29" s="8" t="s">
        <v>189</v>
      </c>
      <c r="D29" s="8" t="s">
        <v>190</v>
      </c>
      <c r="E29" s="8" t="s">
        <v>24</v>
      </c>
      <c r="F29" s="8" t="s">
        <v>147</v>
      </c>
      <c r="G29" s="8" t="s">
        <v>54</v>
      </c>
      <c r="H29" s="8" t="s">
        <v>191</v>
      </c>
      <c r="I29" s="8" t="s">
        <v>127</v>
      </c>
      <c r="J29" s="8" t="s">
        <v>47</v>
      </c>
      <c r="K29" s="8" t="n">
        <v>4</v>
      </c>
      <c r="L29" s="8" t="n">
        <v>593.35</v>
      </c>
      <c r="M29" s="8" t="n">
        <v>0.2</v>
      </c>
      <c r="N29" s="8" t="n">
        <v>1898.72</v>
      </c>
      <c r="O29" s="8" t="n">
        <v>259.33</v>
      </c>
    </row>
    <row r="30" customFormat="false" ht="15" hidden="false" customHeight="true" outlineLevel="0" collapsed="false">
      <c r="A30" s="8" t="s">
        <v>192</v>
      </c>
      <c r="B30" s="8" t="s">
        <v>193</v>
      </c>
      <c r="C30" s="8" t="s">
        <v>194</v>
      </c>
      <c r="D30" s="8" t="s">
        <v>195</v>
      </c>
      <c r="E30" s="8" t="s">
        <v>52</v>
      </c>
      <c r="F30" s="8" t="s">
        <v>126</v>
      </c>
      <c r="G30" s="8" t="s">
        <v>26</v>
      </c>
      <c r="H30" s="8" t="s">
        <v>155</v>
      </c>
      <c r="I30" s="8" t="s">
        <v>138</v>
      </c>
      <c r="J30" s="8" t="s">
        <v>64</v>
      </c>
      <c r="K30" s="8" t="n">
        <v>5</v>
      </c>
      <c r="L30" s="8" t="n">
        <v>75.01</v>
      </c>
      <c r="M30" s="8" t="n">
        <v>0</v>
      </c>
      <c r="N30" s="8" t="n">
        <v>375.05</v>
      </c>
      <c r="O30" s="8" t="n">
        <v>109.17</v>
      </c>
    </row>
    <row r="31" customFormat="false" ht="15" hidden="false" customHeight="true" outlineLevel="0" collapsed="false">
      <c r="A31" s="8" t="s">
        <v>196</v>
      </c>
      <c r="B31" s="8" t="s">
        <v>197</v>
      </c>
      <c r="C31" s="8" t="s">
        <v>198</v>
      </c>
      <c r="D31" s="8" t="s">
        <v>199</v>
      </c>
      <c r="E31" s="8"/>
      <c r="F31" s="8" t="s">
        <v>200</v>
      </c>
      <c r="G31" s="8" t="s">
        <v>82</v>
      </c>
      <c r="H31" s="8" t="s">
        <v>114</v>
      </c>
      <c r="I31" s="8" t="s">
        <v>201</v>
      </c>
      <c r="J31" s="8" t="s">
        <v>47</v>
      </c>
      <c r="K31" s="8" t="n">
        <v>5</v>
      </c>
      <c r="L31" s="8" t="n">
        <v>449.67</v>
      </c>
      <c r="M31" s="8" t="n">
        <v>0.1</v>
      </c>
      <c r="N31" s="8" t="n">
        <v>2023.51</v>
      </c>
      <c r="O31" s="8" t="n">
        <v>345.96</v>
      </c>
    </row>
    <row r="32" customFormat="false" ht="15" hidden="false" customHeight="true" outlineLevel="0" collapsed="false">
      <c r="A32" s="8" t="s">
        <v>202</v>
      </c>
      <c r="B32" s="8" t="s">
        <v>203</v>
      </c>
      <c r="C32" s="8" t="s">
        <v>204</v>
      </c>
      <c r="D32" s="8" t="s">
        <v>205</v>
      </c>
      <c r="E32" s="8" t="s">
        <v>52</v>
      </c>
      <c r="F32" s="8" t="s">
        <v>94</v>
      </c>
      <c r="G32" s="8" t="s">
        <v>54</v>
      </c>
      <c r="H32" s="8" t="s">
        <v>206</v>
      </c>
      <c r="I32" s="8" t="s">
        <v>143</v>
      </c>
      <c r="J32" s="8" t="s">
        <v>64</v>
      </c>
      <c r="K32" s="8" t="n">
        <v>2</v>
      </c>
      <c r="L32" s="8" t="n">
        <v>630.59</v>
      </c>
      <c r="M32" s="8" t="n">
        <v>0.2</v>
      </c>
      <c r="N32" s="8" t="n">
        <v>1008.94</v>
      </c>
      <c r="O32" s="8" t="n">
        <v>-87.81</v>
      </c>
    </row>
    <row r="33" customFormat="false" ht="15" hidden="false" customHeight="true" outlineLevel="0" collapsed="false">
      <c r="A33" s="8" t="s">
        <v>207</v>
      </c>
      <c r="B33" s="8" t="s">
        <v>208</v>
      </c>
      <c r="C33" s="8" t="s">
        <v>209</v>
      </c>
      <c r="D33" s="8" t="s">
        <v>210</v>
      </c>
      <c r="E33" s="8" t="s">
        <v>24</v>
      </c>
      <c r="F33" s="8" t="s">
        <v>44</v>
      </c>
      <c r="G33" s="8" t="s">
        <v>62</v>
      </c>
      <c r="H33" s="8" t="s">
        <v>95</v>
      </c>
      <c r="I33" s="8" t="s">
        <v>115</v>
      </c>
      <c r="J33" s="8" t="s">
        <v>47</v>
      </c>
      <c r="K33" s="8" t="n">
        <v>3</v>
      </c>
      <c r="L33" s="8" t="n">
        <v>822.45</v>
      </c>
      <c r="M33" s="8" t="n">
        <v>0.15</v>
      </c>
      <c r="N33" s="8" t="n">
        <v>2097.25</v>
      </c>
      <c r="O33" s="8" t="n">
        <v>323.81</v>
      </c>
    </row>
    <row r="34" customFormat="false" ht="15" hidden="false" customHeight="true" outlineLevel="0" collapsed="false">
      <c r="A34" s="8" t="s">
        <v>211</v>
      </c>
      <c r="B34" s="8" t="s">
        <v>212</v>
      </c>
      <c r="C34" s="8" t="s">
        <v>213</v>
      </c>
      <c r="D34" s="8" t="s">
        <v>214</v>
      </c>
      <c r="E34" s="8" t="s">
        <v>34</v>
      </c>
      <c r="F34" s="8" t="s">
        <v>147</v>
      </c>
      <c r="G34" s="8" t="s">
        <v>215</v>
      </c>
      <c r="H34" s="8" t="s">
        <v>155</v>
      </c>
      <c r="I34" s="8" t="s">
        <v>149</v>
      </c>
      <c r="J34" s="8" t="s">
        <v>39</v>
      </c>
      <c r="K34" s="8" t="n">
        <v>5</v>
      </c>
      <c r="L34" s="8" t="n">
        <v>815.09</v>
      </c>
      <c r="M34" s="8"/>
      <c r="N34" s="8" t="n">
        <v>4075.45</v>
      </c>
      <c r="O34" s="8" t="n">
        <v>-375.18</v>
      </c>
    </row>
    <row r="35" customFormat="false" ht="15" hidden="false" customHeight="true" outlineLevel="0" collapsed="false">
      <c r="A35" s="8" t="s">
        <v>216</v>
      </c>
      <c r="B35" s="8" t="s">
        <v>217</v>
      </c>
      <c r="C35" s="8" t="s">
        <v>218</v>
      </c>
      <c r="D35" s="8" t="s">
        <v>219</v>
      </c>
      <c r="E35" s="8" t="s">
        <v>34</v>
      </c>
      <c r="F35" s="8" t="s">
        <v>126</v>
      </c>
      <c r="G35" s="8" t="s">
        <v>82</v>
      </c>
      <c r="H35" s="8" t="s">
        <v>132</v>
      </c>
      <c r="I35" s="8" t="s">
        <v>220</v>
      </c>
      <c r="J35" s="8" t="s">
        <v>29</v>
      </c>
      <c r="K35" s="8" t="n">
        <v>1</v>
      </c>
      <c r="L35" s="8" t="n">
        <v>988.72</v>
      </c>
      <c r="M35" s="8" t="n">
        <v>0.15</v>
      </c>
      <c r="N35" s="8" t="n">
        <v>840.41</v>
      </c>
      <c r="O35" s="8" t="n">
        <v>180.11</v>
      </c>
    </row>
    <row r="36" customFormat="false" ht="15" hidden="false" customHeight="true" outlineLevel="0" collapsed="false">
      <c r="A36" s="8" t="s">
        <v>221</v>
      </c>
      <c r="B36" s="8" t="s">
        <v>222</v>
      </c>
      <c r="C36" s="8" t="s">
        <v>223</v>
      </c>
      <c r="D36" s="8" t="s">
        <v>224</v>
      </c>
      <c r="E36" s="8" t="s">
        <v>52</v>
      </c>
      <c r="F36" s="8" t="s">
        <v>200</v>
      </c>
      <c r="G36" s="8" t="s">
        <v>26</v>
      </c>
      <c r="H36" s="8" t="s">
        <v>83</v>
      </c>
      <c r="I36" s="8" t="s">
        <v>38</v>
      </c>
      <c r="J36" s="8" t="s">
        <v>64</v>
      </c>
      <c r="K36" s="8" t="n">
        <v>2</v>
      </c>
      <c r="L36" s="8" t="n">
        <v>54.11</v>
      </c>
      <c r="M36" s="8" t="n">
        <v>0.2</v>
      </c>
      <c r="N36" s="8" t="n">
        <v>1298.7</v>
      </c>
      <c r="O36" s="8" t="n">
        <v>-4.36</v>
      </c>
    </row>
    <row r="37" customFormat="false" ht="15" hidden="false" customHeight="true" outlineLevel="0" collapsed="false">
      <c r="A37" s="8" t="s">
        <v>225</v>
      </c>
      <c r="B37" s="8" t="s">
        <v>226</v>
      </c>
      <c r="C37" s="8" t="s">
        <v>227</v>
      </c>
      <c r="D37" s="8" t="s">
        <v>228</v>
      </c>
      <c r="E37" s="8" t="s">
        <v>52</v>
      </c>
      <c r="F37" s="8" t="s">
        <v>229</v>
      </c>
      <c r="G37" s="8" t="s">
        <v>182</v>
      </c>
      <c r="H37" s="8" t="s">
        <v>95</v>
      </c>
      <c r="I37" s="8" t="s">
        <v>201</v>
      </c>
      <c r="J37" s="8" t="s">
        <v>64</v>
      </c>
      <c r="K37" s="8" t="n">
        <v>1</v>
      </c>
      <c r="L37" s="8" t="n">
        <v>514.36</v>
      </c>
      <c r="M37" s="8" t="n">
        <v>0.15</v>
      </c>
      <c r="N37" s="8" t="n">
        <v>437.21</v>
      </c>
      <c r="O37" s="8" t="n">
        <v>44.47</v>
      </c>
    </row>
    <row r="38" customFormat="false" ht="15" hidden="false" customHeight="true" outlineLevel="0" collapsed="false">
      <c r="A38" s="8" t="s">
        <v>230</v>
      </c>
      <c r="B38" s="8" t="s">
        <v>231</v>
      </c>
      <c r="C38" s="8" t="s">
        <v>232</v>
      </c>
      <c r="D38" s="8" t="s">
        <v>93</v>
      </c>
      <c r="E38" s="8" t="s">
        <v>52</v>
      </c>
      <c r="F38" s="8" t="s">
        <v>61</v>
      </c>
      <c r="G38" s="8" t="s">
        <v>36</v>
      </c>
      <c r="H38" s="8" t="s">
        <v>132</v>
      </c>
      <c r="I38" s="8" t="s">
        <v>56</v>
      </c>
      <c r="J38" s="8" t="s">
        <v>29</v>
      </c>
      <c r="K38" s="8" t="n">
        <v>2</v>
      </c>
      <c r="L38" s="8" t="n">
        <v>579.11</v>
      </c>
      <c r="M38" s="8" t="n">
        <v>0.2</v>
      </c>
      <c r="N38" s="8" t="n">
        <v>926.58</v>
      </c>
      <c r="O38" s="8" t="n">
        <v>134.01</v>
      </c>
    </row>
    <row r="39" customFormat="false" ht="15" hidden="false" customHeight="true" outlineLevel="0" collapsed="false">
      <c r="A39" s="8" t="s">
        <v>233</v>
      </c>
      <c r="B39" s="8" t="s">
        <v>234</v>
      </c>
      <c r="C39" s="8" t="s">
        <v>235</v>
      </c>
      <c r="D39" s="8" t="s">
        <v>236</v>
      </c>
      <c r="E39" s="8" t="s">
        <v>52</v>
      </c>
      <c r="F39" s="8" t="s">
        <v>154</v>
      </c>
      <c r="G39" s="8" t="s">
        <v>119</v>
      </c>
      <c r="H39" s="8" t="s">
        <v>191</v>
      </c>
      <c r="I39" s="8" t="s">
        <v>127</v>
      </c>
      <c r="J39" s="8" t="s">
        <v>29</v>
      </c>
      <c r="K39" s="8" t="n">
        <v>5</v>
      </c>
      <c r="L39" s="8" t="n">
        <v>988.5</v>
      </c>
      <c r="M39" s="8" t="n">
        <v>0.2</v>
      </c>
      <c r="N39" s="8" t="n">
        <v>3954</v>
      </c>
      <c r="O39" s="8" t="n">
        <v>-127.6</v>
      </c>
    </row>
    <row r="40" customFormat="false" ht="15" hidden="false" customHeight="true" outlineLevel="0" collapsed="false">
      <c r="A40" s="8" t="s">
        <v>237</v>
      </c>
      <c r="B40" s="8" t="s">
        <v>238</v>
      </c>
      <c r="C40" s="8" t="s">
        <v>239</v>
      </c>
      <c r="D40" s="8" t="s">
        <v>240</v>
      </c>
      <c r="E40" s="8" t="s">
        <v>24</v>
      </c>
      <c r="F40" s="8" t="s">
        <v>147</v>
      </c>
      <c r="G40" s="8" t="s">
        <v>54</v>
      </c>
      <c r="H40" s="8" t="s">
        <v>103</v>
      </c>
      <c r="I40" s="8" t="s">
        <v>241</v>
      </c>
      <c r="J40" s="8" t="s">
        <v>47</v>
      </c>
      <c r="K40" s="8" t="n">
        <v>2</v>
      </c>
      <c r="L40" s="8" t="n">
        <v>103.81</v>
      </c>
      <c r="M40" s="8"/>
      <c r="N40" s="8" t="n">
        <v>207.62</v>
      </c>
      <c r="O40" s="8" t="n">
        <v>63.44</v>
      </c>
    </row>
    <row r="41" customFormat="false" ht="15" hidden="false" customHeight="true" outlineLevel="0" collapsed="false">
      <c r="A41" s="8" t="s">
        <v>242</v>
      </c>
      <c r="B41" s="8" t="s">
        <v>213</v>
      </c>
      <c r="C41" s="8" t="s">
        <v>243</v>
      </c>
      <c r="D41" s="8" t="s">
        <v>244</v>
      </c>
      <c r="E41" s="8" t="s">
        <v>34</v>
      </c>
      <c r="F41" s="8" t="s">
        <v>173</v>
      </c>
      <c r="G41" s="8" t="s">
        <v>102</v>
      </c>
      <c r="H41" s="8" t="s">
        <v>245</v>
      </c>
      <c r="I41" s="8" t="s">
        <v>115</v>
      </c>
      <c r="J41" s="8" t="s">
        <v>64</v>
      </c>
      <c r="K41" s="8"/>
      <c r="L41" s="8" t="n">
        <v>41.93</v>
      </c>
      <c r="M41" s="8" t="n">
        <v>0.2</v>
      </c>
      <c r="N41" s="8" t="n">
        <v>33.54</v>
      </c>
      <c r="O41" s="8" t="n">
        <v>9.88</v>
      </c>
    </row>
    <row r="42" customFormat="false" ht="15" hidden="false" customHeight="true" outlineLevel="0" collapsed="false">
      <c r="A42" s="8" t="s">
        <v>246</v>
      </c>
      <c r="B42" s="8" t="s">
        <v>247</v>
      </c>
      <c r="C42" s="8" t="s">
        <v>248</v>
      </c>
      <c r="D42" s="8" t="s">
        <v>249</v>
      </c>
      <c r="E42" s="8"/>
      <c r="F42" s="8" t="s">
        <v>126</v>
      </c>
      <c r="G42" s="8" t="s">
        <v>82</v>
      </c>
      <c r="H42" s="8" t="s">
        <v>191</v>
      </c>
      <c r="I42" s="8" t="s">
        <v>121</v>
      </c>
      <c r="J42" s="8" t="s">
        <v>64</v>
      </c>
      <c r="K42" s="8" t="n">
        <v>1</v>
      </c>
      <c r="L42" s="8" t="n">
        <v>119.78</v>
      </c>
      <c r="M42" s="8" t="n">
        <v>0.15</v>
      </c>
      <c r="N42" s="8" t="n">
        <v>101.81</v>
      </c>
      <c r="O42" s="8" t="n">
        <v>-8.62</v>
      </c>
    </row>
    <row r="43" customFormat="false" ht="15" hidden="false" customHeight="true" outlineLevel="0" collapsed="false">
      <c r="A43" s="8" t="s">
        <v>250</v>
      </c>
      <c r="B43" s="8" t="s">
        <v>251</v>
      </c>
      <c r="C43" s="8" t="s">
        <v>252</v>
      </c>
      <c r="D43" s="8"/>
      <c r="E43" s="8" t="s">
        <v>34</v>
      </c>
      <c r="F43" s="8" t="s">
        <v>200</v>
      </c>
      <c r="G43" s="8" t="s">
        <v>89</v>
      </c>
      <c r="H43" s="8" t="s">
        <v>77</v>
      </c>
      <c r="I43" s="8" t="s">
        <v>121</v>
      </c>
      <c r="J43" s="8" t="s">
        <v>29</v>
      </c>
      <c r="K43" s="8" t="n">
        <v>2</v>
      </c>
      <c r="L43" s="8" t="n">
        <v>851.76</v>
      </c>
      <c r="M43" s="8" t="n">
        <v>0.05</v>
      </c>
      <c r="N43" s="8" t="n">
        <v>1618.34</v>
      </c>
      <c r="O43" s="8" t="n">
        <v>455.78</v>
      </c>
    </row>
    <row r="44" customFormat="false" ht="15" hidden="false" customHeight="true" outlineLevel="0" collapsed="false">
      <c r="A44" s="8" t="s">
        <v>253</v>
      </c>
      <c r="B44" s="8" t="s">
        <v>254</v>
      </c>
      <c r="C44" s="8" t="s">
        <v>255</v>
      </c>
      <c r="D44" s="8" t="s">
        <v>256</v>
      </c>
      <c r="E44" s="8"/>
      <c r="F44" s="8" t="s">
        <v>35</v>
      </c>
      <c r="G44" s="8" t="s">
        <v>62</v>
      </c>
      <c r="H44" s="8" t="s">
        <v>148</v>
      </c>
      <c r="I44" s="8" t="s">
        <v>149</v>
      </c>
      <c r="J44" s="8" t="s">
        <v>39</v>
      </c>
      <c r="K44" s="8" t="n">
        <v>1</v>
      </c>
      <c r="L44" s="8" t="n">
        <v>1076.4</v>
      </c>
      <c r="M44" s="8" t="n">
        <v>0.05</v>
      </c>
      <c r="N44" s="8" t="n">
        <v>1022.58</v>
      </c>
      <c r="O44" s="8" t="n">
        <v>170.3</v>
      </c>
    </row>
    <row r="45" customFormat="false" ht="15" hidden="false" customHeight="true" outlineLevel="0" collapsed="false">
      <c r="A45" s="8" t="s">
        <v>257</v>
      </c>
      <c r="B45" s="8" t="s">
        <v>258</v>
      </c>
      <c r="C45" s="8" t="s">
        <v>259</v>
      </c>
      <c r="D45" s="8" t="s">
        <v>210</v>
      </c>
      <c r="E45" s="8" t="s">
        <v>24</v>
      </c>
      <c r="F45" s="8" t="s">
        <v>61</v>
      </c>
      <c r="G45" s="8" t="s">
        <v>62</v>
      </c>
      <c r="H45" s="8" t="s">
        <v>114</v>
      </c>
      <c r="I45" s="8" t="s">
        <v>201</v>
      </c>
      <c r="J45" s="8" t="s">
        <v>29</v>
      </c>
      <c r="K45" s="8" t="n">
        <v>5</v>
      </c>
      <c r="L45" s="8" t="n">
        <v>849.61</v>
      </c>
      <c r="M45" s="8" t="n">
        <v>0.05</v>
      </c>
      <c r="N45" s="8" t="n">
        <v>4035.65</v>
      </c>
      <c r="O45" s="8" t="n">
        <v>750.78</v>
      </c>
    </row>
    <row r="46" customFormat="false" ht="15" hidden="false" customHeight="true" outlineLevel="0" collapsed="false">
      <c r="A46" s="8" t="s">
        <v>260</v>
      </c>
      <c r="B46" s="8" t="s">
        <v>261</v>
      </c>
      <c r="C46" s="8" t="s">
        <v>262</v>
      </c>
      <c r="D46" s="8" t="s">
        <v>263</v>
      </c>
      <c r="E46" s="8" t="s">
        <v>34</v>
      </c>
      <c r="F46" s="8" t="s">
        <v>154</v>
      </c>
      <c r="G46" s="8" t="s">
        <v>182</v>
      </c>
      <c r="H46" s="8" t="s">
        <v>155</v>
      </c>
      <c r="I46" s="8" t="s">
        <v>46</v>
      </c>
      <c r="J46" s="8" t="s">
        <v>39</v>
      </c>
      <c r="K46" s="8" t="n">
        <v>3</v>
      </c>
      <c r="L46" s="8" t="n">
        <v>1182.03</v>
      </c>
      <c r="M46" s="8" t="n">
        <v>0.15</v>
      </c>
      <c r="N46" s="8" t="n">
        <v>3014.18</v>
      </c>
      <c r="O46" s="8" t="n">
        <v>365.44</v>
      </c>
    </row>
    <row r="47" customFormat="false" ht="15" hidden="false" customHeight="true" outlineLevel="0" collapsed="false">
      <c r="A47" s="8" t="s">
        <v>264</v>
      </c>
      <c r="B47" s="8" t="s">
        <v>265</v>
      </c>
      <c r="C47" s="8" t="s">
        <v>266</v>
      </c>
      <c r="D47" s="8" t="s">
        <v>267</v>
      </c>
      <c r="E47" s="8" t="s">
        <v>24</v>
      </c>
      <c r="F47" s="8" t="s">
        <v>25</v>
      </c>
      <c r="G47" s="8" t="s">
        <v>82</v>
      </c>
      <c r="H47" s="8" t="s">
        <v>45</v>
      </c>
      <c r="I47" s="8" t="s">
        <v>46</v>
      </c>
      <c r="J47" s="8" t="s">
        <v>64</v>
      </c>
      <c r="K47" s="8"/>
      <c r="L47" s="8" t="n">
        <v>689.39</v>
      </c>
      <c r="M47" s="8" t="n">
        <v>0.05</v>
      </c>
      <c r="N47" s="8" t="n">
        <v>654.92</v>
      </c>
      <c r="O47" s="8" t="n">
        <v>214.27</v>
      </c>
    </row>
    <row r="48" customFormat="false" ht="15" hidden="false" customHeight="true" outlineLevel="0" collapsed="false">
      <c r="A48" s="8" t="s">
        <v>268</v>
      </c>
      <c r="B48" s="8" t="s">
        <v>269</v>
      </c>
      <c r="C48" s="8" t="s">
        <v>270</v>
      </c>
      <c r="D48" s="8" t="s">
        <v>271</v>
      </c>
      <c r="E48" s="8" t="s">
        <v>34</v>
      </c>
      <c r="F48" s="8" t="s">
        <v>44</v>
      </c>
      <c r="G48" s="8" t="s">
        <v>62</v>
      </c>
      <c r="H48" s="8" t="s">
        <v>148</v>
      </c>
      <c r="I48" s="8" t="s">
        <v>149</v>
      </c>
      <c r="J48" s="8" t="s">
        <v>47</v>
      </c>
      <c r="K48" s="8" t="n">
        <v>1</v>
      </c>
      <c r="L48" s="8" t="n">
        <v>999</v>
      </c>
      <c r="M48" s="8" t="n">
        <v>0.1</v>
      </c>
      <c r="N48" s="8" t="n">
        <v>899.1</v>
      </c>
      <c r="O48" s="8" t="n">
        <v>155.47</v>
      </c>
    </row>
    <row r="49" customFormat="false" ht="15" hidden="false" customHeight="true" outlineLevel="0" collapsed="false">
      <c r="A49" s="8" t="s">
        <v>272</v>
      </c>
      <c r="B49" s="8" t="s">
        <v>273</v>
      </c>
      <c r="C49" s="8" t="s">
        <v>274</v>
      </c>
      <c r="D49" s="8" t="s">
        <v>275</v>
      </c>
      <c r="E49" s="8" t="s">
        <v>24</v>
      </c>
      <c r="F49" s="8" t="s">
        <v>101</v>
      </c>
      <c r="G49" s="8" t="s">
        <v>182</v>
      </c>
      <c r="H49" s="8" t="s">
        <v>55</v>
      </c>
      <c r="I49" s="8" t="s">
        <v>104</v>
      </c>
      <c r="J49" s="8" t="s">
        <v>64</v>
      </c>
      <c r="K49" s="8"/>
      <c r="L49" s="8" t="n">
        <v>69.94</v>
      </c>
      <c r="M49" s="8" t="n">
        <v>0.15</v>
      </c>
      <c r="N49" s="8" t="n">
        <v>59.45</v>
      </c>
      <c r="O49" s="8" t="n">
        <v>3.65</v>
      </c>
    </row>
    <row r="50" customFormat="false" ht="15" hidden="false" customHeight="true" outlineLevel="0" collapsed="false">
      <c r="A50" s="8" t="s">
        <v>276</v>
      </c>
      <c r="B50" s="8" t="s">
        <v>277</v>
      </c>
      <c r="C50" s="8" t="s">
        <v>278</v>
      </c>
      <c r="D50" s="8" t="s">
        <v>279</v>
      </c>
      <c r="E50" s="8" t="s">
        <v>52</v>
      </c>
      <c r="F50" s="8" t="s">
        <v>94</v>
      </c>
      <c r="G50" s="8" t="s">
        <v>215</v>
      </c>
      <c r="H50" s="8" t="s">
        <v>280</v>
      </c>
      <c r="I50" s="8" t="s">
        <v>201</v>
      </c>
      <c r="J50" s="8" t="s">
        <v>39</v>
      </c>
      <c r="K50" s="8" t="n">
        <v>2</v>
      </c>
      <c r="L50" s="8" t="n">
        <v>903.94</v>
      </c>
      <c r="M50" s="8"/>
      <c r="N50" s="8" t="n">
        <v>1807.88</v>
      </c>
      <c r="O50" s="8" t="n">
        <v>433.93</v>
      </c>
    </row>
    <row r="51" customFormat="false" ht="15" hidden="false" customHeight="true" outlineLevel="0" collapsed="false">
      <c r="A51" s="8" t="s">
        <v>281</v>
      </c>
      <c r="B51" s="8" t="s">
        <v>282</v>
      </c>
      <c r="C51" s="8" t="s">
        <v>283</v>
      </c>
      <c r="D51" s="8" t="s">
        <v>284</v>
      </c>
      <c r="E51" s="8"/>
      <c r="F51" s="8" t="s">
        <v>200</v>
      </c>
      <c r="G51" s="8" t="s">
        <v>89</v>
      </c>
      <c r="H51" s="8" t="s">
        <v>120</v>
      </c>
      <c r="I51" s="8" t="s">
        <v>71</v>
      </c>
      <c r="J51" s="8" t="s">
        <v>39</v>
      </c>
      <c r="K51" s="8" t="n">
        <v>1</v>
      </c>
      <c r="L51" s="8" t="n">
        <v>414.13</v>
      </c>
      <c r="M51" s="8" t="n">
        <v>0.1</v>
      </c>
      <c r="N51" s="8" t="n">
        <v>372.72</v>
      </c>
      <c r="O51" s="8" t="n">
        <v>115.81</v>
      </c>
    </row>
    <row r="52" customFormat="false" ht="15" hidden="false" customHeight="true" outlineLevel="0" collapsed="false">
      <c r="A52" s="8" t="s">
        <v>285</v>
      </c>
      <c r="B52" s="8" t="s">
        <v>286</v>
      </c>
      <c r="C52" s="8" t="s">
        <v>287</v>
      </c>
      <c r="D52" s="8" t="s">
        <v>288</v>
      </c>
      <c r="E52" s="8" t="s">
        <v>34</v>
      </c>
      <c r="F52" s="8" t="s">
        <v>35</v>
      </c>
      <c r="G52" s="8" t="s">
        <v>76</v>
      </c>
      <c r="H52" s="8" t="s">
        <v>103</v>
      </c>
      <c r="I52" s="8" t="s">
        <v>63</v>
      </c>
      <c r="J52" s="8" t="s">
        <v>39</v>
      </c>
      <c r="K52" s="8" t="n">
        <v>3</v>
      </c>
      <c r="L52" s="8" t="n">
        <v>1070.14</v>
      </c>
      <c r="M52" s="8"/>
      <c r="N52" s="8" t="n">
        <v>3210.42</v>
      </c>
      <c r="O52" s="8" t="n">
        <v>823.25</v>
      </c>
    </row>
    <row r="53" customFormat="false" ht="15" hidden="false" customHeight="true" outlineLevel="0" collapsed="false">
      <c r="A53" s="8" t="s">
        <v>289</v>
      </c>
      <c r="B53" s="8" t="s">
        <v>290</v>
      </c>
      <c r="C53" s="8" t="s">
        <v>291</v>
      </c>
      <c r="D53" s="8" t="s">
        <v>292</v>
      </c>
      <c r="E53" s="8" t="s">
        <v>24</v>
      </c>
      <c r="F53" s="8" t="s">
        <v>147</v>
      </c>
      <c r="G53" s="8" t="s">
        <v>54</v>
      </c>
      <c r="H53" s="8" t="s">
        <v>142</v>
      </c>
      <c r="I53" s="8" t="s">
        <v>143</v>
      </c>
      <c r="J53" s="8" t="s">
        <v>29</v>
      </c>
      <c r="K53" s="8" t="n">
        <v>1</v>
      </c>
      <c r="L53" s="8" t="n">
        <v>599.8</v>
      </c>
      <c r="M53" s="8" t="n">
        <v>0.2</v>
      </c>
      <c r="N53" s="8" t="n">
        <v>479.84</v>
      </c>
      <c r="O53" s="8" t="n">
        <v>70.37</v>
      </c>
    </row>
    <row r="54" customFormat="false" ht="15" hidden="false" customHeight="true" outlineLevel="0" collapsed="false">
      <c r="A54" s="8" t="s">
        <v>293</v>
      </c>
      <c r="B54" s="8" t="s">
        <v>294</v>
      </c>
      <c r="C54" s="8" t="s">
        <v>295</v>
      </c>
      <c r="D54" s="8" t="s">
        <v>296</v>
      </c>
      <c r="E54" s="8" t="s">
        <v>24</v>
      </c>
      <c r="F54" s="8" t="s">
        <v>61</v>
      </c>
      <c r="G54" s="8" t="s">
        <v>76</v>
      </c>
      <c r="H54" s="8" t="s">
        <v>245</v>
      </c>
      <c r="I54" s="8" t="s">
        <v>297</v>
      </c>
      <c r="J54" s="8" t="s">
        <v>47</v>
      </c>
      <c r="K54" s="8" t="n">
        <v>3</v>
      </c>
      <c r="L54" s="8" t="n">
        <v>991.15</v>
      </c>
      <c r="M54" s="8" t="n">
        <v>0.2</v>
      </c>
      <c r="N54" s="8" t="n">
        <v>2378.76</v>
      </c>
      <c r="O54" s="8" t="n">
        <v>648.08</v>
      </c>
    </row>
    <row r="55" customFormat="false" ht="15" hidden="false" customHeight="true" outlineLevel="0" collapsed="false">
      <c r="A55" s="8" t="s">
        <v>298</v>
      </c>
      <c r="B55" s="8" t="s">
        <v>299</v>
      </c>
      <c r="C55" s="8" t="s">
        <v>300</v>
      </c>
      <c r="D55" s="8" t="s">
        <v>301</v>
      </c>
      <c r="E55" s="8" t="s">
        <v>34</v>
      </c>
      <c r="F55" s="8" t="s">
        <v>200</v>
      </c>
      <c r="G55" s="8" t="s">
        <v>26</v>
      </c>
      <c r="H55" s="8" t="s">
        <v>95</v>
      </c>
      <c r="I55" s="8" t="s">
        <v>115</v>
      </c>
      <c r="J55" s="8" t="s">
        <v>39</v>
      </c>
      <c r="K55" s="8" t="n">
        <v>1</v>
      </c>
      <c r="L55" s="8" t="n">
        <v>1122.82</v>
      </c>
      <c r="M55" s="8" t="n">
        <v>0.2</v>
      </c>
      <c r="N55" s="8" t="n">
        <v>898.26</v>
      </c>
      <c r="O55" s="8" t="n">
        <v>270.01</v>
      </c>
    </row>
    <row r="56" customFormat="false" ht="15" hidden="false" customHeight="true" outlineLevel="0" collapsed="false">
      <c r="A56" s="8" t="s">
        <v>302</v>
      </c>
      <c r="B56" s="8" t="s">
        <v>303</v>
      </c>
      <c r="C56" s="8" t="s">
        <v>304</v>
      </c>
      <c r="D56" s="8" t="s">
        <v>305</v>
      </c>
      <c r="E56" s="8" t="s">
        <v>52</v>
      </c>
      <c r="F56" s="8" t="s">
        <v>35</v>
      </c>
      <c r="G56" s="8" t="s">
        <v>36</v>
      </c>
      <c r="H56" s="8" t="s">
        <v>103</v>
      </c>
      <c r="I56" s="8" t="s">
        <v>241</v>
      </c>
      <c r="J56" s="8" t="s">
        <v>39</v>
      </c>
      <c r="K56" s="8" t="n">
        <v>5</v>
      </c>
      <c r="L56" s="8" t="n">
        <v>225.93</v>
      </c>
      <c r="M56" s="8" t="n">
        <v>0.15</v>
      </c>
      <c r="N56" s="8" t="n">
        <v>960.2</v>
      </c>
      <c r="O56" s="8" t="n">
        <v>-69.39</v>
      </c>
    </row>
    <row r="57" customFormat="false" ht="15" hidden="false" customHeight="true" outlineLevel="0" collapsed="false">
      <c r="A57" s="8" t="s">
        <v>306</v>
      </c>
      <c r="B57" s="8" t="s">
        <v>307</v>
      </c>
      <c r="C57" s="8" t="s">
        <v>308</v>
      </c>
      <c r="D57" s="8" t="s">
        <v>309</v>
      </c>
      <c r="E57" s="8" t="s">
        <v>24</v>
      </c>
      <c r="F57" s="8" t="s">
        <v>229</v>
      </c>
      <c r="G57" s="8" t="s">
        <v>182</v>
      </c>
      <c r="H57" s="8" t="s">
        <v>37</v>
      </c>
      <c r="I57" s="8" t="s">
        <v>84</v>
      </c>
      <c r="J57" s="8" t="s">
        <v>47</v>
      </c>
      <c r="K57" s="8"/>
      <c r="L57" s="8" t="n">
        <v>305.09</v>
      </c>
      <c r="M57" s="8"/>
      <c r="N57" s="8" t="n">
        <v>305.09</v>
      </c>
      <c r="O57" s="8" t="n">
        <v>104.01</v>
      </c>
    </row>
    <row r="58" customFormat="false" ht="15" hidden="false" customHeight="true" outlineLevel="0" collapsed="false">
      <c r="A58" s="8" t="s">
        <v>310</v>
      </c>
      <c r="B58" s="8" t="s">
        <v>311</v>
      </c>
      <c r="C58" s="8" t="s">
        <v>312</v>
      </c>
      <c r="D58" s="8" t="s">
        <v>313</v>
      </c>
      <c r="E58" s="8"/>
      <c r="F58" s="8" t="s">
        <v>101</v>
      </c>
      <c r="G58" s="8" t="s">
        <v>119</v>
      </c>
      <c r="H58" s="8" t="s">
        <v>95</v>
      </c>
      <c r="I58" s="8" t="s">
        <v>201</v>
      </c>
      <c r="J58" s="8" t="s">
        <v>47</v>
      </c>
      <c r="K58" s="8" t="n">
        <v>2</v>
      </c>
      <c r="L58" s="8" t="n">
        <v>866.81</v>
      </c>
      <c r="M58" s="8" t="n">
        <v>0</v>
      </c>
      <c r="N58" s="8" t="n">
        <v>1733.62</v>
      </c>
      <c r="O58" s="8" t="n">
        <v>243.24</v>
      </c>
    </row>
    <row r="59" customFormat="false" ht="15" hidden="false" customHeight="true" outlineLevel="0" collapsed="false">
      <c r="A59" s="8" t="s">
        <v>314</v>
      </c>
      <c r="B59" s="8" t="s">
        <v>315</v>
      </c>
      <c r="C59" s="8" t="s">
        <v>316</v>
      </c>
      <c r="D59" s="8" t="s">
        <v>317</v>
      </c>
      <c r="E59" s="8" t="s">
        <v>52</v>
      </c>
      <c r="F59" s="8" t="s">
        <v>126</v>
      </c>
      <c r="G59" s="8" t="s">
        <v>26</v>
      </c>
      <c r="H59" s="8" t="s">
        <v>132</v>
      </c>
      <c r="I59" s="8" t="s">
        <v>241</v>
      </c>
      <c r="J59" s="8" t="s">
        <v>29</v>
      </c>
      <c r="K59" s="8" t="n">
        <v>5</v>
      </c>
      <c r="L59" s="8" t="n">
        <v>1051.64</v>
      </c>
      <c r="M59" s="8" t="n">
        <v>0.05</v>
      </c>
      <c r="N59" s="8" t="n">
        <v>4995.29</v>
      </c>
      <c r="O59" s="8" t="n">
        <v>1619.05</v>
      </c>
    </row>
    <row r="60" customFormat="false" ht="15" hidden="false" customHeight="true" outlineLevel="0" collapsed="false">
      <c r="A60" s="8" t="s">
        <v>318</v>
      </c>
      <c r="B60" s="8" t="s">
        <v>319</v>
      </c>
      <c r="C60" s="8" t="s">
        <v>320</v>
      </c>
      <c r="D60" s="8" t="s">
        <v>321</v>
      </c>
      <c r="E60" s="8" t="s">
        <v>52</v>
      </c>
      <c r="F60" s="8" t="s">
        <v>44</v>
      </c>
      <c r="G60" s="8" t="s">
        <v>36</v>
      </c>
      <c r="H60" s="8" t="s">
        <v>245</v>
      </c>
      <c r="I60" s="8" t="s">
        <v>109</v>
      </c>
      <c r="J60" s="8" t="s">
        <v>39</v>
      </c>
      <c r="K60" s="8" t="n">
        <v>4</v>
      </c>
      <c r="L60" s="8" t="n">
        <v>514.16</v>
      </c>
      <c r="M60" s="8" t="n">
        <v>0</v>
      </c>
      <c r="N60" s="8" t="n">
        <v>2056.64</v>
      </c>
      <c r="O60" s="8" t="n">
        <v>181.26</v>
      </c>
    </row>
    <row r="61" customFormat="false" ht="15" hidden="false" customHeight="true" outlineLevel="0" collapsed="false">
      <c r="A61" s="8" t="s">
        <v>322</v>
      </c>
      <c r="B61" s="8" t="s">
        <v>323</v>
      </c>
      <c r="C61" s="8" t="s">
        <v>324</v>
      </c>
      <c r="D61" s="8" t="s">
        <v>325</v>
      </c>
      <c r="E61" s="8"/>
      <c r="F61" s="8" t="s">
        <v>94</v>
      </c>
      <c r="G61" s="8" t="s">
        <v>326</v>
      </c>
      <c r="H61" s="8" t="s">
        <v>77</v>
      </c>
      <c r="I61" s="8" t="s">
        <v>71</v>
      </c>
      <c r="J61" s="8" t="s">
        <v>39</v>
      </c>
      <c r="K61" s="8" t="n">
        <v>3</v>
      </c>
      <c r="L61" s="8" t="n">
        <v>1140.49</v>
      </c>
      <c r="M61" s="8" t="n">
        <v>0.05</v>
      </c>
      <c r="N61" s="8" t="n">
        <v>3250.4</v>
      </c>
      <c r="O61" s="8" t="n">
        <v>150.18</v>
      </c>
    </row>
    <row r="62" customFormat="false" ht="15" hidden="false" customHeight="true" outlineLevel="0" collapsed="false">
      <c r="A62" s="8" t="s">
        <v>327</v>
      </c>
      <c r="B62" s="8" t="s">
        <v>328</v>
      </c>
      <c r="C62" s="8" t="s">
        <v>329</v>
      </c>
      <c r="D62" s="8" t="s">
        <v>330</v>
      </c>
      <c r="E62" s="8" t="s">
        <v>34</v>
      </c>
      <c r="F62" s="8" t="s">
        <v>53</v>
      </c>
      <c r="G62" s="8" t="s">
        <v>215</v>
      </c>
      <c r="H62" s="8" t="s">
        <v>280</v>
      </c>
      <c r="I62" s="8" t="s">
        <v>109</v>
      </c>
      <c r="J62" s="8" t="s">
        <v>47</v>
      </c>
      <c r="K62" s="8" t="n">
        <v>3</v>
      </c>
      <c r="L62" s="8" t="n">
        <v>814.46</v>
      </c>
      <c r="M62" s="8" t="n">
        <v>0.05</v>
      </c>
      <c r="N62" s="8" t="n">
        <v>2321.21</v>
      </c>
      <c r="O62" s="8" t="n">
        <v>397.54</v>
      </c>
    </row>
    <row r="63" customFormat="false" ht="15" hidden="false" customHeight="true" outlineLevel="0" collapsed="false">
      <c r="A63" s="8" t="s">
        <v>331</v>
      </c>
      <c r="B63" s="8" t="s">
        <v>332</v>
      </c>
      <c r="C63" s="8" t="s">
        <v>333</v>
      </c>
      <c r="D63" s="8" t="s">
        <v>334</v>
      </c>
      <c r="E63" s="8"/>
      <c r="F63" s="8" t="s">
        <v>126</v>
      </c>
      <c r="G63" s="8" t="s">
        <v>82</v>
      </c>
      <c r="H63" s="8" t="s">
        <v>27</v>
      </c>
      <c r="I63" s="8" t="s">
        <v>160</v>
      </c>
      <c r="J63" s="8" t="s">
        <v>47</v>
      </c>
      <c r="K63" s="8" t="n">
        <v>4</v>
      </c>
      <c r="L63" s="8" t="n">
        <v>523.23</v>
      </c>
      <c r="M63" s="8"/>
      <c r="N63" s="8" t="n">
        <v>2092.92</v>
      </c>
      <c r="O63" s="8" t="n">
        <v>5.84</v>
      </c>
    </row>
    <row r="64" customFormat="false" ht="15" hidden="false" customHeight="true" outlineLevel="0" collapsed="false">
      <c r="A64" s="8" t="s">
        <v>335</v>
      </c>
      <c r="B64" s="8" t="s">
        <v>336</v>
      </c>
      <c r="C64" s="8" t="s">
        <v>337</v>
      </c>
      <c r="D64" s="8" t="s">
        <v>338</v>
      </c>
      <c r="E64" s="8"/>
      <c r="F64" s="8" t="s">
        <v>229</v>
      </c>
      <c r="G64" s="8" t="s">
        <v>102</v>
      </c>
      <c r="H64" s="8" t="s">
        <v>55</v>
      </c>
      <c r="I64" s="8" t="s">
        <v>56</v>
      </c>
      <c r="J64" s="8" t="s">
        <v>64</v>
      </c>
      <c r="K64" s="8" t="n">
        <v>5</v>
      </c>
      <c r="L64" s="8" t="n">
        <v>741.7</v>
      </c>
      <c r="M64" s="8" t="n">
        <v>0.15</v>
      </c>
      <c r="N64" s="8" t="n">
        <v>3152.22</v>
      </c>
      <c r="O64" s="8" t="n">
        <v>735.19</v>
      </c>
    </row>
    <row r="65" customFormat="false" ht="15" hidden="false" customHeight="true" outlineLevel="0" collapsed="false">
      <c r="A65" s="8" t="s">
        <v>339</v>
      </c>
      <c r="B65" s="8" t="s">
        <v>340</v>
      </c>
      <c r="C65" s="8" t="s">
        <v>341</v>
      </c>
      <c r="D65" s="8" t="s">
        <v>342</v>
      </c>
      <c r="E65" s="8" t="s">
        <v>52</v>
      </c>
      <c r="F65" s="8" t="s">
        <v>154</v>
      </c>
      <c r="G65" s="8" t="s">
        <v>102</v>
      </c>
      <c r="H65" s="8" t="s">
        <v>280</v>
      </c>
      <c r="I65" s="8" t="s">
        <v>297</v>
      </c>
      <c r="J65" s="8" t="s">
        <v>64</v>
      </c>
      <c r="K65" s="8" t="n">
        <v>1</v>
      </c>
      <c r="L65" s="8" t="n">
        <v>1062.82</v>
      </c>
      <c r="M65" s="8" t="n">
        <v>0</v>
      </c>
      <c r="N65" s="8" t="n">
        <v>1062.82</v>
      </c>
      <c r="O65" s="8" t="n">
        <v>269.33</v>
      </c>
    </row>
    <row r="66" customFormat="false" ht="15" hidden="false" customHeight="true" outlineLevel="0" collapsed="false">
      <c r="A66" s="8" t="s">
        <v>343</v>
      </c>
      <c r="B66" s="8" t="s">
        <v>344</v>
      </c>
      <c r="C66" s="8" t="s">
        <v>345</v>
      </c>
      <c r="D66" s="8" t="s">
        <v>346</v>
      </c>
      <c r="E66" s="8" t="s">
        <v>34</v>
      </c>
      <c r="F66" s="8" t="s">
        <v>61</v>
      </c>
      <c r="G66" s="8" t="s">
        <v>76</v>
      </c>
      <c r="H66" s="8" t="s">
        <v>45</v>
      </c>
      <c r="I66" s="8" t="s">
        <v>149</v>
      </c>
      <c r="J66" s="8" t="s">
        <v>64</v>
      </c>
      <c r="K66" s="8" t="n">
        <v>3</v>
      </c>
      <c r="L66" s="8" t="n">
        <v>444.72</v>
      </c>
      <c r="M66" s="8"/>
      <c r="N66" s="8" t="n">
        <v>1334.16</v>
      </c>
      <c r="O66" s="8" t="n">
        <v>426.7</v>
      </c>
    </row>
    <row r="67" customFormat="false" ht="15" hidden="false" customHeight="true" outlineLevel="0" collapsed="false">
      <c r="A67" s="8" t="s">
        <v>347</v>
      </c>
      <c r="B67" s="8" t="s">
        <v>348</v>
      </c>
      <c r="C67" s="8" t="s">
        <v>349</v>
      </c>
      <c r="D67" s="8" t="s">
        <v>350</v>
      </c>
      <c r="E67" s="8" t="s">
        <v>34</v>
      </c>
      <c r="F67" s="8" t="s">
        <v>44</v>
      </c>
      <c r="G67" s="8" t="s">
        <v>62</v>
      </c>
      <c r="H67" s="8" t="s">
        <v>95</v>
      </c>
      <c r="I67" s="8" t="s">
        <v>109</v>
      </c>
      <c r="J67" s="8" t="s">
        <v>29</v>
      </c>
      <c r="K67" s="8" t="n">
        <v>2</v>
      </c>
      <c r="L67" s="8" t="n">
        <v>298.55</v>
      </c>
      <c r="M67" s="8" t="n">
        <v>0</v>
      </c>
      <c r="N67" s="8" t="n">
        <v>597.1</v>
      </c>
      <c r="O67" s="8" t="n">
        <v>-23.45</v>
      </c>
    </row>
    <row r="68" customFormat="false" ht="15" hidden="false" customHeight="true" outlineLevel="0" collapsed="false">
      <c r="A68" s="8" t="s">
        <v>351</v>
      </c>
      <c r="B68" s="8" t="s">
        <v>352</v>
      </c>
      <c r="C68" s="8" t="s">
        <v>353</v>
      </c>
      <c r="D68" s="8" t="s">
        <v>354</v>
      </c>
      <c r="E68" s="8"/>
      <c r="F68" s="8" t="s">
        <v>35</v>
      </c>
      <c r="G68" s="8" t="s">
        <v>62</v>
      </c>
      <c r="H68" s="8" t="s">
        <v>55</v>
      </c>
      <c r="I68" s="8" t="s">
        <v>133</v>
      </c>
      <c r="J68" s="8" t="s">
        <v>64</v>
      </c>
      <c r="K68" s="8" t="n">
        <v>4</v>
      </c>
      <c r="L68" s="8" t="n">
        <v>827.51</v>
      </c>
      <c r="M68" s="8"/>
      <c r="N68" s="8" t="n">
        <v>3310.04</v>
      </c>
      <c r="O68" s="8" t="n">
        <v>565.39</v>
      </c>
    </row>
    <row r="69" customFormat="false" ht="15" hidden="false" customHeight="true" outlineLevel="0" collapsed="false">
      <c r="A69" s="8" t="s">
        <v>355</v>
      </c>
      <c r="B69" s="8" t="s">
        <v>356</v>
      </c>
      <c r="C69" s="8" t="s">
        <v>357</v>
      </c>
      <c r="D69" s="8" t="s">
        <v>358</v>
      </c>
      <c r="E69" s="8" t="s">
        <v>24</v>
      </c>
      <c r="F69" s="8" t="s">
        <v>69</v>
      </c>
      <c r="G69" s="8" t="s">
        <v>26</v>
      </c>
      <c r="H69" s="8" t="s">
        <v>359</v>
      </c>
      <c r="I69" s="8" t="s">
        <v>220</v>
      </c>
      <c r="J69" s="8" t="s">
        <v>39</v>
      </c>
      <c r="K69" s="8" t="n">
        <v>1</v>
      </c>
      <c r="L69" s="8" t="n">
        <v>329.41</v>
      </c>
      <c r="M69" s="8" t="n">
        <v>0.2</v>
      </c>
      <c r="N69" s="8" t="n">
        <v>263.53</v>
      </c>
      <c r="O69" s="8" t="n">
        <v>68.19</v>
      </c>
    </row>
    <row r="70" customFormat="false" ht="15" hidden="false" customHeight="true" outlineLevel="0" collapsed="false">
      <c r="A70" s="8" t="s">
        <v>360</v>
      </c>
      <c r="B70" s="8" t="s">
        <v>361</v>
      </c>
      <c r="C70" s="8" t="s">
        <v>362</v>
      </c>
      <c r="D70" s="8" t="s">
        <v>363</v>
      </c>
      <c r="E70" s="8" t="s">
        <v>34</v>
      </c>
      <c r="F70" s="8" t="s">
        <v>200</v>
      </c>
      <c r="G70" s="8" t="s">
        <v>26</v>
      </c>
      <c r="H70" s="8" t="s">
        <v>70</v>
      </c>
      <c r="I70" s="8" t="s">
        <v>127</v>
      </c>
      <c r="J70" s="8" t="s">
        <v>39</v>
      </c>
      <c r="K70" s="8" t="n">
        <v>1</v>
      </c>
      <c r="L70" s="8" t="n">
        <v>217.13</v>
      </c>
      <c r="M70" s="8" t="n">
        <v>0.1</v>
      </c>
      <c r="N70" s="8" t="n">
        <v>195.42</v>
      </c>
      <c r="O70" s="8"/>
    </row>
    <row r="71" customFormat="false" ht="15" hidden="false" customHeight="true" outlineLevel="0" collapsed="false">
      <c r="A71" s="8" t="s">
        <v>364</v>
      </c>
      <c r="B71" s="8" t="s">
        <v>365</v>
      </c>
      <c r="C71" s="8" t="s">
        <v>366</v>
      </c>
      <c r="D71" s="8" t="s">
        <v>367</v>
      </c>
      <c r="E71" s="8" t="s">
        <v>34</v>
      </c>
      <c r="F71" s="8" t="s">
        <v>25</v>
      </c>
      <c r="G71" s="8" t="s">
        <v>82</v>
      </c>
      <c r="H71" s="8" t="s">
        <v>27</v>
      </c>
      <c r="I71" s="8" t="s">
        <v>138</v>
      </c>
      <c r="J71" s="8" t="s">
        <v>64</v>
      </c>
      <c r="K71" s="8" t="n">
        <v>3</v>
      </c>
      <c r="L71" s="8" t="n">
        <v>369.47</v>
      </c>
      <c r="M71" s="8" t="n">
        <v>0.1</v>
      </c>
      <c r="N71" s="8" t="n">
        <v>997.57</v>
      </c>
      <c r="O71" s="8" t="n">
        <v>136.62</v>
      </c>
    </row>
    <row r="72" customFormat="false" ht="15" hidden="false" customHeight="true" outlineLevel="0" collapsed="false">
      <c r="A72" s="8" t="s">
        <v>368</v>
      </c>
      <c r="B72" s="8" t="s">
        <v>369</v>
      </c>
      <c r="C72" s="8" t="s">
        <v>370</v>
      </c>
      <c r="D72" s="8" t="s">
        <v>371</v>
      </c>
      <c r="E72" s="8" t="s">
        <v>34</v>
      </c>
      <c r="F72" s="8" t="s">
        <v>372</v>
      </c>
      <c r="G72" s="8" t="s">
        <v>215</v>
      </c>
      <c r="H72" s="8" t="s">
        <v>132</v>
      </c>
      <c r="I72" s="8" t="s">
        <v>241</v>
      </c>
      <c r="J72" s="8" t="s">
        <v>64</v>
      </c>
      <c r="K72" s="8" t="n">
        <v>3</v>
      </c>
      <c r="L72" s="8" t="n">
        <v>667.22</v>
      </c>
      <c r="M72" s="8" t="n">
        <v>0.15</v>
      </c>
      <c r="N72" s="8" t="n">
        <v>1701.41</v>
      </c>
      <c r="O72" s="8"/>
    </row>
    <row r="73" customFormat="false" ht="15" hidden="false" customHeight="true" outlineLevel="0" collapsed="false">
      <c r="A73" s="8" t="s">
        <v>373</v>
      </c>
      <c r="B73" s="8" t="s">
        <v>374</v>
      </c>
      <c r="C73" s="8" t="s">
        <v>375</v>
      </c>
      <c r="D73" s="8" t="s">
        <v>376</v>
      </c>
      <c r="E73" s="8" t="s">
        <v>24</v>
      </c>
      <c r="F73" s="8" t="s">
        <v>200</v>
      </c>
      <c r="G73" s="8" t="s">
        <v>82</v>
      </c>
      <c r="H73" s="8" t="s">
        <v>114</v>
      </c>
      <c r="I73" s="8" t="s">
        <v>96</v>
      </c>
      <c r="J73" s="8" t="s">
        <v>29</v>
      </c>
      <c r="K73" s="8" t="n">
        <v>2</v>
      </c>
      <c r="L73" s="8" t="n">
        <v>168.27</v>
      </c>
      <c r="M73" s="8" t="n">
        <v>0</v>
      </c>
      <c r="N73" s="8" t="n">
        <v>336.54</v>
      </c>
      <c r="O73" s="8" t="n">
        <v>113.2</v>
      </c>
    </row>
    <row r="74" customFormat="false" ht="15" hidden="false" customHeight="true" outlineLevel="0" collapsed="false">
      <c r="A74" s="8" t="s">
        <v>202</v>
      </c>
      <c r="B74" s="8" t="s">
        <v>203</v>
      </c>
      <c r="C74" s="8" t="s">
        <v>204</v>
      </c>
      <c r="D74" s="8" t="s">
        <v>205</v>
      </c>
      <c r="E74" s="8" t="s">
        <v>52</v>
      </c>
      <c r="F74" s="8" t="s">
        <v>94</v>
      </c>
      <c r="G74" s="8" t="s">
        <v>54</v>
      </c>
      <c r="H74" s="8" t="s">
        <v>206</v>
      </c>
      <c r="I74" s="8" t="s">
        <v>143</v>
      </c>
      <c r="J74" s="8" t="s">
        <v>64</v>
      </c>
      <c r="K74" s="8" t="n">
        <v>2</v>
      </c>
      <c r="L74" s="8" t="n">
        <v>630.59</v>
      </c>
      <c r="M74" s="8" t="n">
        <v>0.2</v>
      </c>
      <c r="N74" s="8" t="n">
        <v>1008.94</v>
      </c>
      <c r="O74" s="8" t="n">
        <v>-87.81</v>
      </c>
    </row>
    <row r="75" customFormat="false" ht="15" hidden="false" customHeight="true" outlineLevel="0" collapsed="false">
      <c r="A75" s="8" t="s">
        <v>377</v>
      </c>
      <c r="B75" s="8" t="s">
        <v>378</v>
      </c>
      <c r="C75" s="8" t="s">
        <v>379</v>
      </c>
      <c r="D75" s="8" t="s">
        <v>380</v>
      </c>
      <c r="E75" s="8"/>
      <c r="F75" s="8" t="s">
        <v>101</v>
      </c>
      <c r="G75" s="8" t="s">
        <v>119</v>
      </c>
      <c r="H75" s="8" t="s">
        <v>95</v>
      </c>
      <c r="I75" s="8" t="s">
        <v>96</v>
      </c>
      <c r="J75" s="8" t="s">
        <v>39</v>
      </c>
      <c r="K75" s="8" t="n">
        <v>2</v>
      </c>
      <c r="L75" s="8" t="n">
        <v>1084.88</v>
      </c>
      <c r="M75" s="8" t="n">
        <v>0.1</v>
      </c>
      <c r="N75" s="8" t="n">
        <v>1952.78</v>
      </c>
      <c r="O75" s="8" t="n">
        <v>20.34</v>
      </c>
    </row>
    <row r="76" customFormat="false" ht="15" hidden="false" customHeight="true" outlineLevel="0" collapsed="false">
      <c r="A76" s="8" t="s">
        <v>381</v>
      </c>
      <c r="B76" s="8" t="s">
        <v>382</v>
      </c>
      <c r="C76" s="8" t="s">
        <v>383</v>
      </c>
      <c r="D76" s="8" t="s">
        <v>384</v>
      </c>
      <c r="E76" s="8" t="s">
        <v>34</v>
      </c>
      <c r="F76" s="8" t="s">
        <v>200</v>
      </c>
      <c r="G76" s="8" t="s">
        <v>26</v>
      </c>
      <c r="H76" s="8" t="s">
        <v>27</v>
      </c>
      <c r="I76" s="8" t="s">
        <v>149</v>
      </c>
      <c r="J76" s="8" t="s">
        <v>64</v>
      </c>
      <c r="K76" s="8" t="n">
        <v>3</v>
      </c>
      <c r="L76" s="8" t="n">
        <v>101.95</v>
      </c>
      <c r="M76" s="8" t="n">
        <v>0.05</v>
      </c>
      <c r="N76" s="8" t="n">
        <v>290.56</v>
      </c>
      <c r="O76" s="8" t="n">
        <v>24.02</v>
      </c>
    </row>
    <row r="77" customFormat="false" ht="15" hidden="false" customHeight="true" outlineLevel="0" collapsed="false">
      <c r="A77" s="8" t="s">
        <v>385</v>
      </c>
      <c r="B77" s="8" t="s">
        <v>386</v>
      </c>
      <c r="C77" s="8" t="s">
        <v>145</v>
      </c>
      <c r="D77" s="8" t="s">
        <v>387</v>
      </c>
      <c r="E77" s="8" t="s">
        <v>52</v>
      </c>
      <c r="F77" s="8" t="s">
        <v>35</v>
      </c>
      <c r="G77" s="8" t="s">
        <v>62</v>
      </c>
      <c r="H77" s="8" t="s">
        <v>142</v>
      </c>
      <c r="I77" s="8" t="s">
        <v>38</v>
      </c>
      <c r="J77" s="8" t="s">
        <v>47</v>
      </c>
      <c r="K77" s="8" t="n">
        <v>5</v>
      </c>
      <c r="L77" s="8" t="n">
        <v>164.07</v>
      </c>
      <c r="M77" s="8" t="n">
        <v>0.2</v>
      </c>
      <c r="N77" s="8" t="n">
        <v>656.28</v>
      </c>
      <c r="O77" s="8" t="n">
        <v>96.27</v>
      </c>
    </row>
    <row r="78" customFormat="false" ht="15" hidden="false" customHeight="true" outlineLevel="0" collapsed="false">
      <c r="A78" s="8" t="s">
        <v>388</v>
      </c>
      <c r="B78" s="8" t="s">
        <v>389</v>
      </c>
      <c r="C78" s="8" t="s">
        <v>390</v>
      </c>
      <c r="D78" s="8" t="s">
        <v>391</v>
      </c>
      <c r="E78" s="8" t="s">
        <v>24</v>
      </c>
      <c r="F78" s="8" t="s">
        <v>69</v>
      </c>
      <c r="G78" s="8" t="s">
        <v>89</v>
      </c>
      <c r="H78" s="8" t="s">
        <v>114</v>
      </c>
      <c r="I78" s="8" t="s">
        <v>297</v>
      </c>
      <c r="J78" s="8" t="s">
        <v>29</v>
      </c>
      <c r="K78" s="8" t="n">
        <v>4</v>
      </c>
      <c r="L78" s="8" t="n">
        <v>798.13</v>
      </c>
      <c r="M78" s="8"/>
      <c r="N78" s="8" t="n">
        <v>3192.52</v>
      </c>
      <c r="O78" s="8" t="n">
        <v>900.23</v>
      </c>
    </row>
    <row r="79" customFormat="false" ht="15" hidden="false" customHeight="true" outlineLevel="0" collapsed="false">
      <c r="A79" s="8" t="s">
        <v>392</v>
      </c>
      <c r="B79" s="8" t="s">
        <v>393</v>
      </c>
      <c r="C79" s="8" t="s">
        <v>394</v>
      </c>
      <c r="D79" s="8" t="s">
        <v>395</v>
      </c>
      <c r="E79" s="8" t="s">
        <v>34</v>
      </c>
      <c r="F79" s="8" t="s">
        <v>61</v>
      </c>
      <c r="G79" s="8" t="s">
        <v>36</v>
      </c>
      <c r="H79" s="8" t="s">
        <v>245</v>
      </c>
      <c r="I79" s="8" t="s">
        <v>109</v>
      </c>
      <c r="J79" s="8" t="s">
        <v>64</v>
      </c>
      <c r="K79" s="8" t="n">
        <v>1</v>
      </c>
      <c r="L79" s="8" t="n">
        <v>1161.18</v>
      </c>
      <c r="M79" s="8"/>
      <c r="N79" s="8" t="n">
        <v>1161.18</v>
      </c>
      <c r="O79" s="8"/>
    </row>
    <row r="80" customFormat="false" ht="15" hidden="false" customHeight="true" outlineLevel="0" collapsed="false">
      <c r="A80" s="8" t="s">
        <v>396</v>
      </c>
      <c r="B80" s="8" t="s">
        <v>397</v>
      </c>
      <c r="C80" s="8" t="s">
        <v>398</v>
      </c>
      <c r="D80" s="8" t="s">
        <v>399</v>
      </c>
      <c r="E80" s="8" t="s">
        <v>34</v>
      </c>
      <c r="F80" s="8" t="s">
        <v>25</v>
      </c>
      <c r="G80" s="8" t="s">
        <v>82</v>
      </c>
      <c r="H80" s="8" t="s">
        <v>191</v>
      </c>
      <c r="I80" s="8" t="s">
        <v>121</v>
      </c>
      <c r="J80" s="8" t="s">
        <v>64</v>
      </c>
      <c r="K80" s="8" t="n">
        <v>3</v>
      </c>
      <c r="L80" s="8" t="n">
        <v>801.18</v>
      </c>
      <c r="M80" s="8" t="n">
        <v>0.05</v>
      </c>
      <c r="N80" s="8" t="n">
        <v>2283.36</v>
      </c>
      <c r="O80" s="8" t="n">
        <v>-117.7</v>
      </c>
    </row>
    <row r="81" customFormat="false" ht="15" hidden="false" customHeight="true" outlineLevel="0" collapsed="false">
      <c r="A81" s="8" t="s">
        <v>400</v>
      </c>
      <c r="B81" s="8" t="s">
        <v>401</v>
      </c>
      <c r="C81" s="8" t="s">
        <v>402</v>
      </c>
      <c r="D81" s="8" t="s">
        <v>403</v>
      </c>
      <c r="E81" s="8" t="s">
        <v>52</v>
      </c>
      <c r="F81" s="8" t="s">
        <v>229</v>
      </c>
      <c r="G81" s="8" t="s">
        <v>119</v>
      </c>
      <c r="H81" s="8" t="s">
        <v>206</v>
      </c>
      <c r="I81" s="8" t="s">
        <v>404</v>
      </c>
      <c r="J81" s="8" t="s">
        <v>47</v>
      </c>
      <c r="K81" s="8" t="n">
        <v>1</v>
      </c>
      <c r="L81" s="8" t="n">
        <v>1053.25</v>
      </c>
      <c r="M81" s="8" t="n">
        <v>0.05</v>
      </c>
      <c r="N81" s="8" t="n">
        <v>1000.59</v>
      </c>
      <c r="O81" s="8" t="n">
        <v>70.73</v>
      </c>
    </row>
    <row r="82" customFormat="false" ht="15" hidden="false" customHeight="true" outlineLevel="0" collapsed="false">
      <c r="A82" s="8" t="s">
        <v>405</v>
      </c>
      <c r="B82" s="8" t="s">
        <v>406</v>
      </c>
      <c r="C82" s="8" t="s">
        <v>407</v>
      </c>
      <c r="D82" s="8" t="s">
        <v>408</v>
      </c>
      <c r="E82" s="8" t="s">
        <v>52</v>
      </c>
      <c r="F82" s="8" t="s">
        <v>35</v>
      </c>
      <c r="G82" s="8" t="s">
        <v>76</v>
      </c>
      <c r="H82" s="8" t="s">
        <v>95</v>
      </c>
      <c r="I82" s="8" t="s">
        <v>109</v>
      </c>
      <c r="J82" s="8" t="s">
        <v>64</v>
      </c>
      <c r="K82" s="8" t="n">
        <v>3</v>
      </c>
      <c r="L82" s="8" t="n">
        <v>350.89</v>
      </c>
      <c r="M82" s="8" t="n">
        <v>0</v>
      </c>
      <c r="N82" s="8" t="n">
        <v>1052.67</v>
      </c>
      <c r="O82" s="8" t="n">
        <v>82.83</v>
      </c>
    </row>
    <row r="83" customFormat="false" ht="15" hidden="false" customHeight="true" outlineLevel="0" collapsed="false">
      <c r="A83" s="8" t="s">
        <v>409</v>
      </c>
      <c r="B83" s="8" t="s">
        <v>410</v>
      </c>
      <c r="C83" s="8" t="s">
        <v>411</v>
      </c>
      <c r="D83" s="8" t="s">
        <v>412</v>
      </c>
      <c r="E83" s="8"/>
      <c r="F83" s="8" t="s">
        <v>69</v>
      </c>
      <c r="G83" s="8" t="s">
        <v>89</v>
      </c>
      <c r="H83" s="8" t="s">
        <v>114</v>
      </c>
      <c r="I83" s="8" t="s">
        <v>109</v>
      </c>
      <c r="J83" s="8" t="s">
        <v>47</v>
      </c>
      <c r="K83" s="8" t="n">
        <v>2</v>
      </c>
      <c r="L83" s="8" t="n">
        <v>747.18</v>
      </c>
      <c r="M83" s="8" t="n">
        <v>0.15</v>
      </c>
      <c r="N83" s="8" t="n">
        <v>1270.21</v>
      </c>
      <c r="O83" s="8" t="n">
        <v>313.59</v>
      </c>
    </row>
    <row r="84" customFormat="false" ht="15" hidden="false" customHeight="true" outlineLevel="0" collapsed="false">
      <c r="A84" s="8" t="s">
        <v>413</v>
      </c>
      <c r="B84" s="8" t="s">
        <v>414</v>
      </c>
      <c r="C84" s="8" t="s">
        <v>415</v>
      </c>
      <c r="D84" s="8" t="s">
        <v>416</v>
      </c>
      <c r="E84" s="8" t="s">
        <v>34</v>
      </c>
      <c r="F84" s="8" t="s">
        <v>200</v>
      </c>
      <c r="G84" s="8" t="s">
        <v>89</v>
      </c>
      <c r="H84" s="8" t="s">
        <v>245</v>
      </c>
      <c r="I84" s="8" t="s">
        <v>115</v>
      </c>
      <c r="J84" s="8" t="s">
        <v>39</v>
      </c>
      <c r="K84" s="8" t="n">
        <v>1</v>
      </c>
      <c r="L84" s="8" t="n">
        <v>628.19</v>
      </c>
      <c r="M84" s="8" t="n">
        <v>0.05</v>
      </c>
      <c r="N84" s="8" t="n">
        <v>596.78</v>
      </c>
      <c r="O84" s="8" t="n">
        <v>66.12</v>
      </c>
    </row>
    <row r="85" customFormat="false" ht="15" hidden="false" customHeight="true" outlineLevel="0" collapsed="false">
      <c r="A85" s="8" t="s">
        <v>417</v>
      </c>
      <c r="B85" s="8" t="s">
        <v>418</v>
      </c>
      <c r="C85" s="8" t="s">
        <v>419</v>
      </c>
      <c r="D85" s="8" t="s">
        <v>420</v>
      </c>
      <c r="E85" s="8" t="s">
        <v>24</v>
      </c>
      <c r="F85" s="8" t="s">
        <v>126</v>
      </c>
      <c r="G85" s="8" t="s">
        <v>89</v>
      </c>
      <c r="H85" s="8" t="s">
        <v>132</v>
      </c>
      <c r="I85" s="8" t="s">
        <v>104</v>
      </c>
      <c r="J85" s="8" t="s">
        <v>29</v>
      </c>
      <c r="K85" s="8" t="n">
        <v>1</v>
      </c>
      <c r="L85" s="8" t="n">
        <v>572.47</v>
      </c>
      <c r="M85" s="8" t="n">
        <v>0.2</v>
      </c>
      <c r="N85" s="8" t="n">
        <v>457.98</v>
      </c>
      <c r="O85" s="8" t="n">
        <v>157</v>
      </c>
    </row>
    <row r="86" customFormat="false" ht="15" hidden="false" customHeight="true" outlineLevel="0" collapsed="false">
      <c r="A86" s="8" t="s">
        <v>421</v>
      </c>
      <c r="B86" s="8" t="s">
        <v>422</v>
      </c>
      <c r="C86" s="8" t="s">
        <v>423</v>
      </c>
      <c r="D86" s="8" t="s">
        <v>424</v>
      </c>
      <c r="E86" s="8" t="s">
        <v>24</v>
      </c>
      <c r="F86" s="8" t="s">
        <v>61</v>
      </c>
      <c r="G86" s="8" t="s">
        <v>36</v>
      </c>
      <c r="H86" s="8" t="s">
        <v>77</v>
      </c>
      <c r="I86" s="8" t="s">
        <v>425</v>
      </c>
      <c r="J86" s="8" t="s">
        <v>39</v>
      </c>
      <c r="K86" s="8" t="n">
        <v>2</v>
      </c>
      <c r="L86" s="8" t="n">
        <v>251.36</v>
      </c>
      <c r="M86" s="8"/>
      <c r="N86" s="8" t="n">
        <v>502.72</v>
      </c>
      <c r="O86" s="8" t="n">
        <v>62.81</v>
      </c>
    </row>
    <row r="87" customFormat="false" ht="15" hidden="false" customHeight="true" outlineLevel="0" collapsed="false">
      <c r="A87" s="8" t="s">
        <v>426</v>
      </c>
      <c r="B87" s="8" t="s">
        <v>427</v>
      </c>
      <c r="C87" s="8" t="s">
        <v>428</v>
      </c>
      <c r="D87" s="8" t="s">
        <v>429</v>
      </c>
      <c r="E87" s="8"/>
      <c r="F87" s="8" t="s">
        <v>200</v>
      </c>
      <c r="G87" s="8" t="s">
        <v>89</v>
      </c>
      <c r="H87" s="8" t="s">
        <v>95</v>
      </c>
      <c r="I87" s="8" t="s">
        <v>297</v>
      </c>
      <c r="J87" s="8" t="s">
        <v>64</v>
      </c>
      <c r="K87" s="8" t="n">
        <v>2</v>
      </c>
      <c r="L87" s="8" t="n">
        <v>538.17</v>
      </c>
      <c r="M87" s="8" t="n">
        <v>0.1</v>
      </c>
      <c r="N87" s="8" t="n">
        <v>968.71</v>
      </c>
      <c r="O87" s="8" t="n">
        <v>87.71</v>
      </c>
    </row>
    <row r="88" customFormat="false" ht="15" hidden="false" customHeight="true" outlineLevel="0" collapsed="false">
      <c r="A88" s="8" t="s">
        <v>430</v>
      </c>
      <c r="B88" s="8" t="s">
        <v>431</v>
      </c>
      <c r="C88" s="8" t="s">
        <v>432</v>
      </c>
      <c r="D88" s="8" t="s">
        <v>433</v>
      </c>
      <c r="E88" s="8"/>
      <c r="F88" s="8" t="s">
        <v>25</v>
      </c>
      <c r="G88" s="8" t="s">
        <v>89</v>
      </c>
      <c r="H88" s="8" t="s">
        <v>120</v>
      </c>
      <c r="I88" s="8" t="s">
        <v>78</v>
      </c>
      <c r="J88" s="8" t="s">
        <v>64</v>
      </c>
      <c r="K88" s="8" t="n">
        <v>1</v>
      </c>
      <c r="L88" s="8" t="n">
        <v>1028.79</v>
      </c>
      <c r="M88" s="8"/>
      <c r="N88" s="8" t="n">
        <v>1028.79</v>
      </c>
      <c r="O88" s="8" t="n">
        <v>243.19</v>
      </c>
    </row>
    <row r="89" customFormat="false" ht="15" hidden="false" customHeight="true" outlineLevel="0" collapsed="false">
      <c r="A89" s="8" t="s">
        <v>434</v>
      </c>
      <c r="B89" s="8" t="s">
        <v>227</v>
      </c>
      <c r="C89" s="8" t="s">
        <v>435</v>
      </c>
      <c r="D89" s="8" t="s">
        <v>436</v>
      </c>
      <c r="E89" s="8" t="s">
        <v>52</v>
      </c>
      <c r="F89" s="8" t="s">
        <v>101</v>
      </c>
      <c r="G89" s="8" t="s">
        <v>102</v>
      </c>
      <c r="H89" s="8" t="s">
        <v>103</v>
      </c>
      <c r="I89" s="8" t="s">
        <v>220</v>
      </c>
      <c r="J89" s="8" t="s">
        <v>64</v>
      </c>
      <c r="K89" s="8" t="n">
        <v>5</v>
      </c>
      <c r="L89" s="8" t="n">
        <v>174.45</v>
      </c>
      <c r="M89" s="8" t="n">
        <v>0</v>
      </c>
      <c r="N89" s="8" t="n">
        <v>872.25</v>
      </c>
      <c r="O89" s="8" t="n">
        <v>153.36</v>
      </c>
    </row>
    <row r="90" customFormat="false" ht="15" hidden="false" customHeight="true" outlineLevel="0" collapsed="false">
      <c r="A90" s="8" t="s">
        <v>437</v>
      </c>
      <c r="B90" s="8" t="s">
        <v>438</v>
      </c>
      <c r="C90" s="8" t="s">
        <v>439</v>
      </c>
      <c r="D90" s="8" t="s">
        <v>440</v>
      </c>
      <c r="E90" s="8" t="s">
        <v>24</v>
      </c>
      <c r="F90" s="8" t="s">
        <v>154</v>
      </c>
      <c r="G90" s="8" t="s">
        <v>182</v>
      </c>
      <c r="H90" s="8" t="s">
        <v>95</v>
      </c>
      <c r="I90" s="8" t="s">
        <v>96</v>
      </c>
      <c r="J90" s="8" t="s">
        <v>39</v>
      </c>
      <c r="K90" s="8" t="n">
        <v>1</v>
      </c>
      <c r="L90" s="8" t="n">
        <v>155.64</v>
      </c>
      <c r="M90" s="8" t="n">
        <v>0.05</v>
      </c>
      <c r="N90" s="8" t="n">
        <v>147.86</v>
      </c>
      <c r="O90" s="8" t="n">
        <v>39.81</v>
      </c>
    </row>
    <row r="91" customFormat="false" ht="15" hidden="false" customHeight="true" outlineLevel="0" collapsed="false">
      <c r="A91" s="8" t="s">
        <v>441</v>
      </c>
      <c r="B91" s="8" t="s">
        <v>442</v>
      </c>
      <c r="C91" s="8" t="s">
        <v>443</v>
      </c>
      <c r="D91" s="8"/>
      <c r="E91" s="8" t="s">
        <v>24</v>
      </c>
      <c r="F91" s="8" t="s">
        <v>53</v>
      </c>
      <c r="G91" s="8" t="s">
        <v>326</v>
      </c>
      <c r="H91" s="8" t="s">
        <v>148</v>
      </c>
      <c r="I91" s="8" t="s">
        <v>28</v>
      </c>
      <c r="J91" s="8" t="s">
        <v>47</v>
      </c>
      <c r="K91" s="8" t="n">
        <v>4</v>
      </c>
      <c r="L91" s="8" t="n">
        <v>714.87</v>
      </c>
      <c r="M91" s="8" t="n">
        <v>0.2</v>
      </c>
      <c r="N91" s="8" t="n">
        <v>2287.58</v>
      </c>
      <c r="O91" s="8" t="n">
        <v>687.16</v>
      </c>
    </row>
    <row r="92" customFormat="false" ht="15" hidden="false" customHeight="true" outlineLevel="0" collapsed="false">
      <c r="A92" s="8" t="s">
        <v>444</v>
      </c>
      <c r="B92" s="8" t="s">
        <v>235</v>
      </c>
      <c r="C92" s="8" t="s">
        <v>445</v>
      </c>
      <c r="D92" s="8" t="s">
        <v>292</v>
      </c>
      <c r="E92" s="8" t="s">
        <v>52</v>
      </c>
      <c r="F92" s="8" t="s">
        <v>35</v>
      </c>
      <c r="G92" s="8" t="s">
        <v>36</v>
      </c>
      <c r="H92" s="8" t="s">
        <v>83</v>
      </c>
      <c r="I92" s="8" t="s">
        <v>84</v>
      </c>
      <c r="J92" s="8" t="s">
        <v>64</v>
      </c>
      <c r="K92" s="8" t="n">
        <v>4</v>
      </c>
      <c r="L92" s="8" t="n">
        <v>407.93</v>
      </c>
      <c r="M92" s="8" t="n">
        <v>0</v>
      </c>
      <c r="N92" s="8" t="n">
        <v>1631.72</v>
      </c>
      <c r="O92" s="8" t="n">
        <v>123.7</v>
      </c>
    </row>
    <row r="93" customFormat="false" ht="15" hidden="false" customHeight="true" outlineLevel="0" collapsed="false">
      <c r="A93" s="8" t="s">
        <v>446</v>
      </c>
      <c r="B93" s="8" t="s">
        <v>447</v>
      </c>
      <c r="C93" s="8" t="s">
        <v>448</v>
      </c>
      <c r="D93" s="8" t="s">
        <v>449</v>
      </c>
      <c r="E93" s="8" t="s">
        <v>34</v>
      </c>
      <c r="F93" s="8" t="s">
        <v>147</v>
      </c>
      <c r="G93" s="8" t="s">
        <v>326</v>
      </c>
      <c r="H93" s="8" t="s">
        <v>155</v>
      </c>
      <c r="I93" s="8" t="s">
        <v>46</v>
      </c>
      <c r="J93" s="8" t="s">
        <v>39</v>
      </c>
      <c r="K93" s="8" t="n">
        <v>1</v>
      </c>
      <c r="L93" s="8" t="n">
        <v>604.98</v>
      </c>
      <c r="M93" s="8" t="n">
        <v>0.15</v>
      </c>
      <c r="N93" s="8" t="n">
        <v>514.23</v>
      </c>
      <c r="O93" s="8" t="n">
        <v>68.15</v>
      </c>
    </row>
    <row r="94" customFormat="false" ht="15" hidden="false" customHeight="true" outlineLevel="0" collapsed="false">
      <c r="A94" s="8" t="s">
        <v>450</v>
      </c>
      <c r="B94" s="8" t="s">
        <v>193</v>
      </c>
      <c r="C94" s="8" t="s">
        <v>451</v>
      </c>
      <c r="D94" s="8" t="s">
        <v>452</v>
      </c>
      <c r="E94" s="8" t="s">
        <v>24</v>
      </c>
      <c r="F94" s="8" t="s">
        <v>69</v>
      </c>
      <c r="G94" s="8" t="s">
        <v>82</v>
      </c>
      <c r="H94" s="8" t="s">
        <v>359</v>
      </c>
      <c r="I94" s="8" t="s">
        <v>220</v>
      </c>
      <c r="J94" s="8" t="s">
        <v>64</v>
      </c>
      <c r="K94" s="8" t="n">
        <v>3</v>
      </c>
      <c r="L94" s="8" t="n">
        <v>770.51</v>
      </c>
      <c r="M94" s="8"/>
      <c r="N94" s="8" t="n">
        <v>2311.53</v>
      </c>
      <c r="O94" s="8" t="n">
        <v>606.65</v>
      </c>
    </row>
    <row r="95" customFormat="false" ht="15" hidden="false" customHeight="true" outlineLevel="0" collapsed="false">
      <c r="A95" s="8" t="s">
        <v>453</v>
      </c>
      <c r="B95" s="8" t="s">
        <v>454</v>
      </c>
      <c r="C95" s="8" t="s">
        <v>455</v>
      </c>
      <c r="D95" s="8" t="s">
        <v>456</v>
      </c>
      <c r="E95" s="8" t="s">
        <v>34</v>
      </c>
      <c r="F95" s="8" t="s">
        <v>173</v>
      </c>
      <c r="G95" s="8" t="s">
        <v>119</v>
      </c>
      <c r="H95" s="8" t="s">
        <v>55</v>
      </c>
      <c r="I95" s="8" t="s">
        <v>133</v>
      </c>
      <c r="J95" s="8" t="s">
        <v>29</v>
      </c>
      <c r="K95" s="8"/>
      <c r="L95" s="8" t="n">
        <v>331.6</v>
      </c>
      <c r="M95" s="8" t="n">
        <v>0.1</v>
      </c>
      <c r="N95" s="8" t="n">
        <v>298.44</v>
      </c>
      <c r="O95" s="8" t="n">
        <v>69.43</v>
      </c>
    </row>
    <row r="96" customFormat="false" ht="15" hidden="false" customHeight="true" outlineLevel="0" collapsed="false">
      <c r="A96" s="8" t="s">
        <v>457</v>
      </c>
      <c r="B96" s="8" t="s">
        <v>458</v>
      </c>
      <c r="C96" s="8" t="s">
        <v>459</v>
      </c>
      <c r="D96" s="8" t="s">
        <v>460</v>
      </c>
      <c r="E96" s="8" t="s">
        <v>24</v>
      </c>
      <c r="F96" s="8" t="s">
        <v>25</v>
      </c>
      <c r="G96" s="8" t="s">
        <v>82</v>
      </c>
      <c r="H96" s="8" t="s">
        <v>280</v>
      </c>
      <c r="I96" s="8" t="s">
        <v>297</v>
      </c>
      <c r="J96" s="8" t="s">
        <v>64</v>
      </c>
      <c r="K96" s="8" t="n">
        <v>1</v>
      </c>
      <c r="L96" s="8" t="n">
        <v>792.04</v>
      </c>
      <c r="M96" s="8" t="n">
        <v>0.05</v>
      </c>
      <c r="N96" s="8" t="n">
        <v>752.44</v>
      </c>
      <c r="O96" s="8" t="n">
        <v>156.6</v>
      </c>
    </row>
    <row r="97" customFormat="false" ht="15" hidden="false" customHeight="true" outlineLevel="0" collapsed="false">
      <c r="A97" s="8" t="s">
        <v>461</v>
      </c>
      <c r="B97" s="8" t="s">
        <v>462</v>
      </c>
      <c r="C97" s="8" t="s">
        <v>463</v>
      </c>
      <c r="D97" s="8" t="s">
        <v>464</v>
      </c>
      <c r="E97" s="8" t="s">
        <v>24</v>
      </c>
      <c r="F97" s="8" t="s">
        <v>61</v>
      </c>
      <c r="G97" s="8" t="s">
        <v>36</v>
      </c>
      <c r="H97" s="8" t="s">
        <v>27</v>
      </c>
      <c r="I97" s="8" t="s">
        <v>160</v>
      </c>
      <c r="J97" s="8" t="s">
        <v>29</v>
      </c>
      <c r="K97" s="8" t="n">
        <v>2</v>
      </c>
      <c r="L97" s="8" t="n">
        <v>455.11</v>
      </c>
      <c r="M97" s="8" t="n">
        <v>0.15</v>
      </c>
      <c r="N97" s="8" t="n">
        <v>773.69</v>
      </c>
      <c r="O97" s="8" t="n">
        <v>63.93</v>
      </c>
    </row>
    <row r="98" customFormat="false" ht="15" hidden="false" customHeight="true" outlineLevel="0" collapsed="false">
      <c r="A98" s="8" t="s">
        <v>465</v>
      </c>
      <c r="B98" s="8" t="s">
        <v>466</v>
      </c>
      <c r="C98" s="8" t="s">
        <v>467</v>
      </c>
      <c r="D98" s="8" t="s">
        <v>468</v>
      </c>
      <c r="E98" s="8" t="s">
        <v>52</v>
      </c>
      <c r="F98" s="8" t="s">
        <v>69</v>
      </c>
      <c r="G98" s="8" t="s">
        <v>89</v>
      </c>
      <c r="H98" s="8" t="s">
        <v>77</v>
      </c>
      <c r="I98" s="8" t="s">
        <v>71</v>
      </c>
      <c r="J98" s="8" t="s">
        <v>39</v>
      </c>
      <c r="K98" s="8" t="n">
        <v>3</v>
      </c>
      <c r="L98" s="8" t="n">
        <v>837.74</v>
      </c>
      <c r="M98" s="8" t="n">
        <v>0.1</v>
      </c>
      <c r="N98" s="8" t="n">
        <v>2261.9</v>
      </c>
      <c r="O98" s="8" t="n">
        <v>40.07</v>
      </c>
    </row>
    <row r="99" customFormat="false" ht="15" hidden="false" customHeight="true" outlineLevel="0" collapsed="false">
      <c r="A99" s="8" t="s">
        <v>469</v>
      </c>
      <c r="B99" s="8" t="s">
        <v>470</v>
      </c>
      <c r="C99" s="8" t="s">
        <v>471</v>
      </c>
      <c r="D99" s="8" t="s">
        <v>472</v>
      </c>
      <c r="E99" s="8" t="s">
        <v>34</v>
      </c>
      <c r="F99" s="8" t="s">
        <v>101</v>
      </c>
      <c r="G99" s="8" t="s">
        <v>182</v>
      </c>
      <c r="H99" s="8" t="s">
        <v>83</v>
      </c>
      <c r="I99" s="8" t="s">
        <v>84</v>
      </c>
      <c r="J99" s="8" t="s">
        <v>29</v>
      </c>
      <c r="K99" s="8" t="n">
        <v>4</v>
      </c>
      <c r="L99" s="8" t="n">
        <v>425.88</v>
      </c>
      <c r="M99" s="8"/>
      <c r="N99" s="8" t="n">
        <v>1703.52</v>
      </c>
      <c r="O99" s="8" t="n">
        <v>-4</v>
      </c>
    </row>
    <row r="100" customFormat="false" ht="15" hidden="false" customHeight="true" outlineLevel="0" collapsed="false">
      <c r="A100" s="8" t="s">
        <v>473</v>
      </c>
      <c r="B100" s="8" t="s">
        <v>474</v>
      </c>
      <c r="C100" s="8" t="s">
        <v>475</v>
      </c>
      <c r="D100" s="8" t="s">
        <v>476</v>
      </c>
      <c r="E100" s="8" t="s">
        <v>52</v>
      </c>
      <c r="F100" s="8" t="s">
        <v>200</v>
      </c>
      <c r="G100" s="8" t="s">
        <v>89</v>
      </c>
      <c r="H100" s="8" t="s">
        <v>142</v>
      </c>
      <c r="I100" s="8" t="s">
        <v>84</v>
      </c>
      <c r="J100" s="8" t="s">
        <v>47</v>
      </c>
      <c r="K100" s="8" t="n">
        <v>4</v>
      </c>
      <c r="L100" s="8" t="n">
        <v>469.12</v>
      </c>
      <c r="M100" s="8" t="n">
        <v>0.05</v>
      </c>
      <c r="N100" s="8" t="n">
        <v>1782.66</v>
      </c>
      <c r="O100" s="8" t="n">
        <v>623.61</v>
      </c>
    </row>
    <row r="101" customFormat="false" ht="15" hidden="false" customHeight="true" outlineLevel="0" collapsed="false">
      <c r="A101" s="8" t="s">
        <v>477</v>
      </c>
      <c r="B101" s="8" t="s">
        <v>478</v>
      </c>
      <c r="C101" s="8" t="s">
        <v>447</v>
      </c>
      <c r="D101" s="8" t="s">
        <v>479</v>
      </c>
      <c r="E101" s="8" t="s">
        <v>24</v>
      </c>
      <c r="F101" s="8" t="s">
        <v>94</v>
      </c>
      <c r="G101" s="8" t="s">
        <v>215</v>
      </c>
      <c r="H101" s="8" t="s">
        <v>37</v>
      </c>
      <c r="I101" s="8" t="s">
        <v>143</v>
      </c>
      <c r="J101" s="8" t="s">
        <v>47</v>
      </c>
      <c r="K101" s="8" t="n">
        <v>4</v>
      </c>
      <c r="L101" s="8" t="n">
        <v>1091.55</v>
      </c>
      <c r="M101" s="8"/>
      <c r="N101" s="8" t="n">
        <v>4366.2</v>
      </c>
      <c r="O101" s="8" t="n">
        <v>1433.43</v>
      </c>
    </row>
    <row r="102" customFormat="false" ht="15" hidden="false" customHeight="true" outlineLevel="0" collapsed="false">
      <c r="A102" s="8" t="s">
        <v>480</v>
      </c>
      <c r="B102" s="8" t="s">
        <v>481</v>
      </c>
      <c r="C102" s="8" t="s">
        <v>482</v>
      </c>
      <c r="D102" s="8" t="s">
        <v>210</v>
      </c>
      <c r="E102" s="8"/>
      <c r="F102" s="8" t="s">
        <v>101</v>
      </c>
      <c r="G102" s="8" t="s">
        <v>182</v>
      </c>
      <c r="H102" s="8" t="s">
        <v>148</v>
      </c>
      <c r="I102" s="8" t="s">
        <v>138</v>
      </c>
      <c r="J102" s="8" t="s">
        <v>47</v>
      </c>
      <c r="K102" s="8" t="n">
        <v>2</v>
      </c>
      <c r="L102" s="8" t="n">
        <v>109.95</v>
      </c>
      <c r="M102" s="8" t="n">
        <v>0.1</v>
      </c>
      <c r="N102" s="8" t="n">
        <v>197.91</v>
      </c>
      <c r="O102" s="8" t="n">
        <v>-19.78</v>
      </c>
    </row>
    <row r="103" customFormat="false" ht="15" hidden="false" customHeight="true" outlineLevel="0" collapsed="false">
      <c r="A103" s="8" t="s">
        <v>483</v>
      </c>
      <c r="B103" s="8" t="s">
        <v>484</v>
      </c>
      <c r="C103" s="8" t="s">
        <v>485</v>
      </c>
      <c r="D103" s="8" t="s">
        <v>486</v>
      </c>
      <c r="E103" s="8"/>
      <c r="F103" s="8" t="s">
        <v>61</v>
      </c>
      <c r="G103" s="8" t="s">
        <v>76</v>
      </c>
      <c r="H103" s="8" t="s">
        <v>148</v>
      </c>
      <c r="I103" s="8" t="s">
        <v>138</v>
      </c>
      <c r="J103" s="8" t="s">
        <v>47</v>
      </c>
      <c r="K103" s="8" t="n">
        <v>4</v>
      </c>
      <c r="L103" s="8" t="n">
        <v>1034.47</v>
      </c>
      <c r="M103" s="8" t="n">
        <v>0.1</v>
      </c>
      <c r="N103" s="8" t="n">
        <v>3724.09</v>
      </c>
      <c r="O103" s="8" t="n">
        <v>75.83</v>
      </c>
    </row>
    <row r="104" customFormat="false" ht="15" hidden="false" customHeight="true" outlineLevel="0" collapsed="false">
      <c r="A104" s="8" t="s">
        <v>487</v>
      </c>
      <c r="B104" s="8" t="s">
        <v>488</v>
      </c>
      <c r="C104" s="8" t="s">
        <v>489</v>
      </c>
      <c r="D104" s="8"/>
      <c r="E104" s="8" t="s">
        <v>52</v>
      </c>
      <c r="F104" s="8" t="s">
        <v>154</v>
      </c>
      <c r="G104" s="8" t="s">
        <v>182</v>
      </c>
      <c r="H104" s="8" t="s">
        <v>245</v>
      </c>
      <c r="I104" s="8" t="s">
        <v>201</v>
      </c>
      <c r="J104" s="8" t="s">
        <v>29</v>
      </c>
      <c r="K104" s="8" t="n">
        <v>3</v>
      </c>
      <c r="L104" s="8" t="n">
        <v>11.75</v>
      </c>
      <c r="M104" s="8" t="n">
        <v>0.15</v>
      </c>
      <c r="N104" s="8" t="n">
        <v>29.96</v>
      </c>
      <c r="O104" s="8" t="n">
        <v>-2.31</v>
      </c>
    </row>
    <row r="105" customFormat="false" ht="15" hidden="false" customHeight="true" outlineLevel="0" collapsed="false">
      <c r="A105" s="8" t="s">
        <v>490</v>
      </c>
      <c r="B105" s="8" t="s">
        <v>491</v>
      </c>
      <c r="C105" s="8" t="s">
        <v>492</v>
      </c>
      <c r="D105" s="8" t="s">
        <v>493</v>
      </c>
      <c r="E105" s="8"/>
      <c r="F105" s="8" t="s">
        <v>372</v>
      </c>
      <c r="G105" s="8" t="s">
        <v>54</v>
      </c>
      <c r="H105" s="8" t="s">
        <v>155</v>
      </c>
      <c r="I105" s="8" t="s">
        <v>160</v>
      </c>
      <c r="J105" s="8" t="s">
        <v>29</v>
      </c>
      <c r="K105" s="8" t="n">
        <v>3</v>
      </c>
      <c r="L105" s="8" t="n">
        <v>728.7</v>
      </c>
      <c r="M105" s="8" t="n">
        <v>0.2</v>
      </c>
      <c r="N105" s="8" t="n">
        <v>1748.88</v>
      </c>
      <c r="O105" s="8" t="n">
        <v>220.44</v>
      </c>
    </row>
    <row r="106" customFormat="false" ht="15" hidden="false" customHeight="true" outlineLevel="0" collapsed="false">
      <c r="A106" s="8" t="s">
        <v>494</v>
      </c>
      <c r="B106" s="8" t="s">
        <v>348</v>
      </c>
      <c r="C106" s="8" t="s">
        <v>495</v>
      </c>
      <c r="D106" s="8" t="s">
        <v>496</v>
      </c>
      <c r="E106" s="8"/>
      <c r="F106" s="8" t="s">
        <v>53</v>
      </c>
      <c r="G106" s="8" t="s">
        <v>326</v>
      </c>
      <c r="H106" s="8" t="s">
        <v>55</v>
      </c>
      <c r="I106" s="8" t="s">
        <v>241</v>
      </c>
      <c r="J106" s="8" t="s">
        <v>29</v>
      </c>
      <c r="K106" s="8" t="n">
        <v>2</v>
      </c>
      <c r="L106" s="8" t="n">
        <v>458.42</v>
      </c>
      <c r="M106" s="8" t="n">
        <v>0</v>
      </c>
      <c r="N106" s="8" t="n">
        <v>916.84</v>
      </c>
      <c r="O106" s="8" t="n">
        <v>49.87</v>
      </c>
    </row>
    <row r="107" customFormat="false" ht="15" hidden="false" customHeight="true" outlineLevel="0" collapsed="false">
      <c r="A107" s="8" t="s">
        <v>497</v>
      </c>
      <c r="B107" s="8" t="s">
        <v>498</v>
      </c>
      <c r="C107" s="8" t="s">
        <v>499</v>
      </c>
      <c r="D107" s="8" t="s">
        <v>500</v>
      </c>
      <c r="E107" s="8" t="s">
        <v>24</v>
      </c>
      <c r="F107" s="8" t="s">
        <v>101</v>
      </c>
      <c r="G107" s="8" t="s">
        <v>182</v>
      </c>
      <c r="H107" s="8" t="s">
        <v>45</v>
      </c>
      <c r="I107" s="8" t="s">
        <v>160</v>
      </c>
      <c r="J107" s="8" t="s">
        <v>39</v>
      </c>
      <c r="K107" s="8"/>
      <c r="L107" s="8" t="n">
        <v>1120.56</v>
      </c>
      <c r="M107" s="8" t="n">
        <v>0.1</v>
      </c>
      <c r="N107" s="8" t="n">
        <v>1008.5</v>
      </c>
      <c r="O107" s="8" t="n">
        <v>146.77</v>
      </c>
    </row>
    <row r="108" customFormat="false" ht="15" hidden="false" customHeight="true" outlineLevel="0" collapsed="false">
      <c r="A108" s="8" t="s">
        <v>501</v>
      </c>
      <c r="B108" s="8" t="s">
        <v>502</v>
      </c>
      <c r="C108" s="8" t="s">
        <v>503</v>
      </c>
      <c r="D108" s="8" t="s">
        <v>504</v>
      </c>
      <c r="E108" s="8" t="s">
        <v>24</v>
      </c>
      <c r="F108" s="8" t="s">
        <v>61</v>
      </c>
      <c r="G108" s="8" t="s">
        <v>62</v>
      </c>
      <c r="H108" s="8" t="s">
        <v>148</v>
      </c>
      <c r="I108" s="8" t="s">
        <v>160</v>
      </c>
      <c r="J108" s="8" t="s">
        <v>39</v>
      </c>
      <c r="K108" s="8" t="n">
        <v>3</v>
      </c>
      <c r="L108" s="8" t="n">
        <v>113.46</v>
      </c>
      <c r="M108" s="8"/>
      <c r="N108" s="8" t="n">
        <v>340.38</v>
      </c>
      <c r="O108" s="8" t="n">
        <v>-12.62</v>
      </c>
    </row>
    <row r="109" customFormat="false" ht="15" hidden="false" customHeight="true" outlineLevel="0" collapsed="false">
      <c r="A109" s="8" t="s">
        <v>505</v>
      </c>
      <c r="B109" s="8" t="s">
        <v>506</v>
      </c>
      <c r="C109" s="8" t="s">
        <v>507</v>
      </c>
      <c r="D109" s="8" t="s">
        <v>271</v>
      </c>
      <c r="E109" s="8" t="s">
        <v>34</v>
      </c>
      <c r="F109" s="8" t="s">
        <v>372</v>
      </c>
      <c r="G109" s="8" t="s">
        <v>215</v>
      </c>
      <c r="H109" s="8" t="s">
        <v>83</v>
      </c>
      <c r="I109" s="8" t="s">
        <v>404</v>
      </c>
      <c r="J109" s="8" t="s">
        <v>29</v>
      </c>
      <c r="K109" s="8" t="n">
        <v>1</v>
      </c>
      <c r="L109" s="8" t="n">
        <v>720.68</v>
      </c>
      <c r="M109" s="8" t="n">
        <v>0.1</v>
      </c>
      <c r="N109" s="8" t="n">
        <v>648.61</v>
      </c>
      <c r="O109" s="8" t="n">
        <v>84.73</v>
      </c>
    </row>
    <row r="110" customFormat="false" ht="15" hidden="false" customHeight="true" outlineLevel="0" collapsed="false">
      <c r="A110" s="8" t="s">
        <v>508</v>
      </c>
      <c r="B110" s="8" t="s">
        <v>509</v>
      </c>
      <c r="C110" s="8" t="s">
        <v>510</v>
      </c>
      <c r="D110" s="8" t="s">
        <v>511</v>
      </c>
      <c r="E110" s="8" t="s">
        <v>24</v>
      </c>
      <c r="F110" s="8" t="s">
        <v>44</v>
      </c>
      <c r="G110" s="8" t="s">
        <v>62</v>
      </c>
      <c r="H110" s="8" t="s">
        <v>95</v>
      </c>
      <c r="I110" s="8" t="s">
        <v>297</v>
      </c>
      <c r="J110" s="8" t="s">
        <v>64</v>
      </c>
      <c r="K110" s="8" t="n">
        <v>3</v>
      </c>
      <c r="L110" s="8" t="n">
        <v>1058.92</v>
      </c>
      <c r="M110" s="8" t="n">
        <v>0.1</v>
      </c>
      <c r="N110" s="8" t="n">
        <v>2859.08</v>
      </c>
      <c r="O110" s="8" t="n">
        <v>-125.05</v>
      </c>
    </row>
    <row r="111" customFormat="false" ht="15" hidden="false" customHeight="true" outlineLevel="0" collapsed="false">
      <c r="A111" s="8" t="s">
        <v>512</v>
      </c>
      <c r="B111" s="8" t="s">
        <v>513</v>
      </c>
      <c r="C111" s="8" t="s">
        <v>514</v>
      </c>
      <c r="D111" s="8" t="s">
        <v>515</v>
      </c>
      <c r="E111" s="8" t="s">
        <v>24</v>
      </c>
      <c r="F111" s="8" t="s">
        <v>61</v>
      </c>
      <c r="G111" s="8" t="s">
        <v>62</v>
      </c>
      <c r="H111" s="8" t="s">
        <v>132</v>
      </c>
      <c r="I111" s="8" t="s">
        <v>104</v>
      </c>
      <c r="J111" s="8" t="s">
        <v>29</v>
      </c>
      <c r="K111" s="8" t="n">
        <v>1</v>
      </c>
      <c r="L111" s="8" t="n">
        <v>1159.61</v>
      </c>
      <c r="M111" s="8" t="n">
        <v>0.05</v>
      </c>
      <c r="N111" s="8" t="n">
        <v>1101.63</v>
      </c>
      <c r="O111" s="8" t="n">
        <v>181.76</v>
      </c>
    </row>
    <row r="112" customFormat="false" ht="15" hidden="false" customHeight="true" outlineLevel="0" collapsed="false">
      <c r="A112" s="8" t="s">
        <v>516</v>
      </c>
      <c r="B112" s="8" t="s">
        <v>517</v>
      </c>
      <c r="C112" s="8" t="s">
        <v>518</v>
      </c>
      <c r="D112" s="8" t="s">
        <v>519</v>
      </c>
      <c r="E112" s="8" t="s">
        <v>34</v>
      </c>
      <c r="F112" s="8" t="s">
        <v>94</v>
      </c>
      <c r="G112" s="8" t="s">
        <v>54</v>
      </c>
      <c r="H112" s="8" t="s">
        <v>114</v>
      </c>
      <c r="I112" s="8" t="s">
        <v>201</v>
      </c>
      <c r="J112" s="8" t="s">
        <v>47</v>
      </c>
      <c r="K112" s="8" t="n">
        <v>3</v>
      </c>
      <c r="L112" s="8" t="n">
        <v>408.35</v>
      </c>
      <c r="M112" s="8" t="n">
        <v>0.15</v>
      </c>
      <c r="N112" s="8" t="n">
        <v>1041.29</v>
      </c>
      <c r="O112" s="8" t="n">
        <v>39.68</v>
      </c>
    </row>
    <row r="113" customFormat="false" ht="1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customFormat="false" ht="15" hidden="false" customHeight="true" outlineLevel="0" collapsed="false">
      <c r="A114" s="8" t="s">
        <v>520</v>
      </c>
      <c r="B114" s="8" t="s">
        <v>521</v>
      </c>
      <c r="C114" s="8" t="s">
        <v>522</v>
      </c>
      <c r="D114" s="8" t="s">
        <v>523</v>
      </c>
      <c r="E114" s="8" t="s">
        <v>24</v>
      </c>
      <c r="F114" s="8" t="s">
        <v>372</v>
      </c>
      <c r="G114" s="8" t="s">
        <v>215</v>
      </c>
      <c r="H114" s="8" t="s">
        <v>132</v>
      </c>
      <c r="I114" s="8" t="s">
        <v>220</v>
      </c>
      <c r="J114" s="8" t="s">
        <v>39</v>
      </c>
      <c r="K114" s="8" t="n">
        <v>2</v>
      </c>
      <c r="L114" s="8" t="n">
        <v>1186.64</v>
      </c>
      <c r="M114" s="8"/>
      <c r="N114" s="8" t="n">
        <v>2373.28</v>
      </c>
      <c r="O114" s="8" t="n">
        <v>589.68</v>
      </c>
    </row>
    <row r="115" customFormat="false" ht="15" hidden="false" customHeight="true" outlineLevel="0" collapsed="false">
      <c r="A115" s="8" t="s">
        <v>524</v>
      </c>
      <c r="B115" s="8" t="s">
        <v>525</v>
      </c>
      <c r="C115" s="8" t="s">
        <v>526</v>
      </c>
      <c r="D115" s="8" t="s">
        <v>346</v>
      </c>
      <c r="E115" s="8" t="s">
        <v>24</v>
      </c>
      <c r="F115" s="8" t="s">
        <v>372</v>
      </c>
      <c r="G115" s="8" t="s">
        <v>215</v>
      </c>
      <c r="H115" s="8" t="s">
        <v>142</v>
      </c>
      <c r="I115" s="8" t="s">
        <v>527</v>
      </c>
      <c r="J115" s="8" t="s">
        <v>29</v>
      </c>
      <c r="K115" s="8" t="n">
        <v>1</v>
      </c>
      <c r="L115" s="8" t="n">
        <v>21.87</v>
      </c>
      <c r="M115" s="8" t="n">
        <v>0.2</v>
      </c>
      <c r="N115" s="8" t="n">
        <v>17.5</v>
      </c>
      <c r="O115" s="8" t="n">
        <v>0.52</v>
      </c>
    </row>
    <row r="116" customFormat="false" ht="15" hidden="false" customHeight="true" outlineLevel="0" collapsed="false">
      <c r="A116" s="8" t="s">
        <v>528</v>
      </c>
      <c r="B116" s="8" t="s">
        <v>411</v>
      </c>
      <c r="C116" s="8" t="s">
        <v>529</v>
      </c>
      <c r="D116" s="8" t="s">
        <v>530</v>
      </c>
      <c r="E116" s="8"/>
      <c r="F116" s="8" t="s">
        <v>44</v>
      </c>
      <c r="G116" s="8" t="s">
        <v>36</v>
      </c>
      <c r="H116" s="8" t="s">
        <v>103</v>
      </c>
      <c r="I116" s="8" t="s">
        <v>220</v>
      </c>
      <c r="J116" s="8" t="s">
        <v>29</v>
      </c>
      <c r="K116" s="8" t="n">
        <v>1</v>
      </c>
      <c r="L116" s="8" t="n">
        <v>138.1</v>
      </c>
      <c r="M116" s="8" t="n">
        <v>0.1</v>
      </c>
      <c r="N116" s="8" t="n">
        <v>124.29</v>
      </c>
      <c r="O116" s="8" t="n">
        <v>28.79</v>
      </c>
    </row>
    <row r="117" customFormat="false" ht="15" hidden="false" customHeight="true" outlineLevel="0" collapsed="false">
      <c r="A117" s="8" t="s">
        <v>531</v>
      </c>
      <c r="B117" s="8" t="s">
        <v>532</v>
      </c>
      <c r="C117" s="8" t="s">
        <v>533</v>
      </c>
      <c r="D117" s="8" t="s">
        <v>534</v>
      </c>
      <c r="E117" s="8" t="s">
        <v>52</v>
      </c>
      <c r="F117" s="8" t="s">
        <v>372</v>
      </c>
      <c r="G117" s="8" t="s">
        <v>215</v>
      </c>
      <c r="H117" s="8" t="s">
        <v>191</v>
      </c>
      <c r="I117" s="8" t="s">
        <v>127</v>
      </c>
      <c r="J117" s="8" t="s">
        <v>29</v>
      </c>
      <c r="K117" s="8" t="n">
        <v>1</v>
      </c>
      <c r="L117" s="8" t="n">
        <v>479.29</v>
      </c>
      <c r="M117" s="8"/>
      <c r="N117" s="8" t="n">
        <v>479.29</v>
      </c>
      <c r="O117" s="8" t="n">
        <v>142.85</v>
      </c>
    </row>
    <row r="118" customFormat="false" ht="15" hidden="false" customHeight="true" outlineLevel="0" collapsed="false">
      <c r="A118" s="8" t="s">
        <v>535</v>
      </c>
      <c r="B118" s="8" t="s">
        <v>536</v>
      </c>
      <c r="C118" s="8" t="s">
        <v>537</v>
      </c>
      <c r="D118" s="8" t="s">
        <v>538</v>
      </c>
      <c r="E118" s="8"/>
      <c r="F118" s="8" t="s">
        <v>61</v>
      </c>
      <c r="G118" s="8" t="s">
        <v>76</v>
      </c>
      <c r="H118" s="8" t="s">
        <v>155</v>
      </c>
      <c r="I118" s="8" t="s">
        <v>149</v>
      </c>
      <c r="J118" s="8" t="s">
        <v>29</v>
      </c>
      <c r="K118" s="8" t="n">
        <v>5</v>
      </c>
      <c r="L118" s="8" t="n">
        <v>196.04</v>
      </c>
      <c r="M118" s="8" t="n">
        <v>0.05</v>
      </c>
      <c r="N118" s="8" t="n">
        <v>931.19</v>
      </c>
      <c r="O118" s="8" t="n">
        <v>93.58</v>
      </c>
    </row>
    <row r="119" customFormat="false" ht="15" hidden="false" customHeight="true" outlineLevel="0" collapsed="false">
      <c r="A119" s="8" t="s">
        <v>539</v>
      </c>
      <c r="B119" s="8" t="s">
        <v>540</v>
      </c>
      <c r="C119" s="8" t="s">
        <v>541</v>
      </c>
      <c r="D119" s="8" t="s">
        <v>542</v>
      </c>
      <c r="E119" s="8"/>
      <c r="F119" s="8" t="s">
        <v>69</v>
      </c>
      <c r="G119" s="8" t="s">
        <v>89</v>
      </c>
      <c r="H119" s="8" t="s">
        <v>359</v>
      </c>
      <c r="I119" s="8" t="s">
        <v>56</v>
      </c>
      <c r="J119" s="8" t="s">
        <v>47</v>
      </c>
      <c r="K119" s="8"/>
      <c r="L119" s="8" t="n">
        <v>1147.8</v>
      </c>
      <c r="M119" s="8"/>
      <c r="N119" s="8" t="n">
        <v>1147.8</v>
      </c>
      <c r="O119" s="8" t="n">
        <v>98.02</v>
      </c>
    </row>
    <row r="120" customFormat="false" ht="15" hidden="false" customHeight="true" outlineLevel="0" collapsed="false">
      <c r="A120" s="8" t="s">
        <v>543</v>
      </c>
      <c r="B120" s="8" t="s">
        <v>544</v>
      </c>
      <c r="C120" s="8" t="s">
        <v>545</v>
      </c>
      <c r="D120" s="8" t="s">
        <v>546</v>
      </c>
      <c r="E120" s="8" t="s">
        <v>34</v>
      </c>
      <c r="F120" s="8" t="s">
        <v>154</v>
      </c>
      <c r="G120" s="8" t="s">
        <v>119</v>
      </c>
      <c r="H120" s="8" t="s">
        <v>70</v>
      </c>
      <c r="I120" s="8" t="s">
        <v>121</v>
      </c>
      <c r="J120" s="8" t="s">
        <v>47</v>
      </c>
      <c r="K120" s="8" t="n">
        <v>3</v>
      </c>
      <c r="L120" s="8" t="n">
        <v>637.83</v>
      </c>
      <c r="M120" s="8" t="n">
        <v>0.15</v>
      </c>
      <c r="N120" s="8" t="n">
        <v>1626.47</v>
      </c>
      <c r="O120" s="8" t="n">
        <v>258.37</v>
      </c>
    </row>
    <row r="121" customFormat="false" ht="15" hidden="false" customHeight="true" outlineLevel="0" collapsed="false">
      <c r="A121" s="8" t="s">
        <v>547</v>
      </c>
      <c r="B121" s="8" t="s">
        <v>548</v>
      </c>
      <c r="C121" s="8" t="s">
        <v>549</v>
      </c>
      <c r="D121" s="8" t="s">
        <v>550</v>
      </c>
      <c r="E121" s="8" t="s">
        <v>52</v>
      </c>
      <c r="F121" s="8" t="s">
        <v>44</v>
      </c>
      <c r="G121" s="8" t="s">
        <v>62</v>
      </c>
      <c r="H121" s="8" t="s">
        <v>95</v>
      </c>
      <c r="I121" s="8" t="s">
        <v>201</v>
      </c>
      <c r="J121" s="8" t="s">
        <v>64</v>
      </c>
      <c r="K121" s="8" t="n">
        <v>2</v>
      </c>
      <c r="L121" s="8" t="n">
        <v>548.44</v>
      </c>
      <c r="M121" s="8" t="n">
        <v>0.15</v>
      </c>
      <c r="N121" s="8" t="n">
        <v>932.35</v>
      </c>
      <c r="O121" s="8" t="n">
        <v>304.09</v>
      </c>
    </row>
    <row r="122" customFormat="false" ht="15" hidden="false" customHeight="true" outlineLevel="0" collapsed="false">
      <c r="A122" s="8" t="s">
        <v>551</v>
      </c>
      <c r="B122" s="8" t="s">
        <v>552</v>
      </c>
      <c r="C122" s="8" t="s">
        <v>553</v>
      </c>
      <c r="D122" s="8" t="s">
        <v>554</v>
      </c>
      <c r="E122" s="8"/>
      <c r="F122" s="8" t="s">
        <v>229</v>
      </c>
      <c r="G122" s="8" t="s">
        <v>102</v>
      </c>
      <c r="H122" s="8" t="s">
        <v>155</v>
      </c>
      <c r="I122" s="8" t="s">
        <v>28</v>
      </c>
      <c r="J122" s="8" t="s">
        <v>47</v>
      </c>
      <c r="K122" s="8" t="n">
        <v>2</v>
      </c>
      <c r="L122" s="8" t="n">
        <v>587.97</v>
      </c>
      <c r="M122" s="8" t="n">
        <v>0.1</v>
      </c>
      <c r="N122" s="8" t="n">
        <v>1058.35</v>
      </c>
      <c r="O122" s="8" t="n">
        <v>239.17</v>
      </c>
    </row>
    <row r="123" customFormat="false" ht="15" hidden="false" customHeight="true" outlineLevel="0" collapsed="false">
      <c r="A123" s="8" t="s">
        <v>555</v>
      </c>
      <c r="B123" s="8" t="s">
        <v>556</v>
      </c>
      <c r="C123" s="8" t="s">
        <v>557</v>
      </c>
      <c r="D123" s="8" t="s">
        <v>558</v>
      </c>
      <c r="E123" s="8" t="s">
        <v>24</v>
      </c>
      <c r="F123" s="8" t="s">
        <v>25</v>
      </c>
      <c r="G123" s="8" t="s">
        <v>26</v>
      </c>
      <c r="H123" s="8" t="s">
        <v>27</v>
      </c>
      <c r="I123" s="8" t="s">
        <v>160</v>
      </c>
      <c r="J123" s="8" t="s">
        <v>39</v>
      </c>
      <c r="K123" s="8" t="n">
        <v>5</v>
      </c>
      <c r="L123" s="8" t="n">
        <v>55.31</v>
      </c>
      <c r="M123" s="8" t="n">
        <v>0</v>
      </c>
      <c r="N123" s="8" t="n">
        <v>276.55</v>
      </c>
      <c r="O123" s="8" t="n">
        <v>44.54</v>
      </c>
    </row>
    <row r="124" customFormat="false" ht="15" hidden="false" customHeight="true" outlineLevel="0" collapsed="false">
      <c r="A124" s="8" t="s">
        <v>559</v>
      </c>
      <c r="B124" s="8" t="s">
        <v>560</v>
      </c>
      <c r="C124" s="8" t="s">
        <v>561</v>
      </c>
      <c r="D124" s="8" t="s">
        <v>562</v>
      </c>
      <c r="E124" s="8" t="s">
        <v>24</v>
      </c>
      <c r="F124" s="8" t="s">
        <v>35</v>
      </c>
      <c r="G124" s="8" t="s">
        <v>76</v>
      </c>
      <c r="H124" s="8" t="s">
        <v>280</v>
      </c>
      <c r="I124" s="8" t="s">
        <v>201</v>
      </c>
      <c r="J124" s="8" t="s">
        <v>39</v>
      </c>
      <c r="K124" s="8" t="n">
        <v>5</v>
      </c>
      <c r="L124" s="8" t="n">
        <v>190.99</v>
      </c>
      <c r="M124" s="8" t="n">
        <v>0.05</v>
      </c>
      <c r="N124" s="8" t="n">
        <v>907.2</v>
      </c>
      <c r="O124" s="8" t="n">
        <v>141.84</v>
      </c>
    </row>
    <row r="125" customFormat="false" ht="15" hidden="false" customHeight="true" outlineLevel="0" collapsed="false">
      <c r="A125" s="8" t="s">
        <v>563</v>
      </c>
      <c r="B125" s="8" t="s">
        <v>564</v>
      </c>
      <c r="C125" s="8" t="s">
        <v>565</v>
      </c>
      <c r="D125" s="8"/>
      <c r="E125" s="8" t="s">
        <v>52</v>
      </c>
      <c r="F125" s="8" t="s">
        <v>25</v>
      </c>
      <c r="G125" s="8" t="s">
        <v>89</v>
      </c>
      <c r="H125" s="8" t="s">
        <v>55</v>
      </c>
      <c r="I125" s="8" t="s">
        <v>104</v>
      </c>
      <c r="J125" s="8" t="s">
        <v>39</v>
      </c>
      <c r="K125" s="8" t="n">
        <v>1</v>
      </c>
      <c r="L125" s="8" t="n">
        <v>581.97</v>
      </c>
      <c r="M125" s="8" t="n">
        <v>0.2</v>
      </c>
      <c r="N125" s="8" t="n">
        <v>465.58</v>
      </c>
      <c r="O125" s="8" t="n">
        <v>156.14</v>
      </c>
    </row>
    <row r="126" customFormat="false" ht="1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customFormat="false" ht="15" hidden="false" customHeight="true" outlineLevel="0" collapsed="false">
      <c r="A127" s="8" t="s">
        <v>566</v>
      </c>
      <c r="B127" s="8" t="s">
        <v>567</v>
      </c>
      <c r="C127" s="8" t="s">
        <v>568</v>
      </c>
      <c r="D127" s="8" t="s">
        <v>569</v>
      </c>
      <c r="E127" s="8" t="s">
        <v>52</v>
      </c>
      <c r="F127" s="8" t="s">
        <v>147</v>
      </c>
      <c r="G127" s="8" t="s">
        <v>326</v>
      </c>
      <c r="H127" s="8" t="s">
        <v>70</v>
      </c>
      <c r="I127" s="8" t="s">
        <v>71</v>
      </c>
      <c r="J127" s="8" t="s">
        <v>39</v>
      </c>
      <c r="K127" s="8" t="n">
        <v>1</v>
      </c>
      <c r="L127" s="8" t="n">
        <v>210.22</v>
      </c>
      <c r="M127" s="8" t="n">
        <v>0.15</v>
      </c>
      <c r="N127" s="8" t="n">
        <v>178.69</v>
      </c>
      <c r="O127" s="8" t="n">
        <v>36.31</v>
      </c>
    </row>
    <row r="128" customFormat="false" ht="15" hidden="false" customHeight="true" outlineLevel="0" collapsed="false">
      <c r="A128" s="8" t="s">
        <v>570</v>
      </c>
      <c r="B128" s="8" t="s">
        <v>571</v>
      </c>
      <c r="C128" s="8" t="s">
        <v>572</v>
      </c>
      <c r="D128" s="8" t="s">
        <v>573</v>
      </c>
      <c r="E128" s="8" t="s">
        <v>24</v>
      </c>
      <c r="F128" s="8" t="s">
        <v>69</v>
      </c>
      <c r="G128" s="8" t="s">
        <v>89</v>
      </c>
      <c r="H128" s="8" t="s">
        <v>103</v>
      </c>
      <c r="I128" s="8" t="s">
        <v>241</v>
      </c>
      <c r="J128" s="8" t="s">
        <v>47</v>
      </c>
      <c r="K128" s="8" t="n">
        <v>3</v>
      </c>
      <c r="L128" s="8" t="n">
        <v>1113.42</v>
      </c>
      <c r="M128" s="8" t="n">
        <v>0.05</v>
      </c>
      <c r="N128" s="8" t="n">
        <v>3173.25</v>
      </c>
      <c r="O128" s="8" t="n">
        <v>628.83</v>
      </c>
    </row>
    <row r="129" customFormat="false" ht="15" hidden="false" customHeight="true" outlineLevel="0" collapsed="false">
      <c r="A129" s="8" t="s">
        <v>574</v>
      </c>
      <c r="B129" s="8" t="s">
        <v>575</v>
      </c>
      <c r="C129" s="8" t="s">
        <v>576</v>
      </c>
      <c r="D129" s="8" t="s">
        <v>577</v>
      </c>
      <c r="E129" s="8"/>
      <c r="F129" s="8" t="s">
        <v>173</v>
      </c>
      <c r="G129" s="8" t="s">
        <v>182</v>
      </c>
      <c r="H129" s="8" t="s">
        <v>120</v>
      </c>
      <c r="I129" s="8" t="s">
        <v>425</v>
      </c>
      <c r="J129" s="8" t="s">
        <v>47</v>
      </c>
      <c r="K129" s="8" t="n">
        <v>1</v>
      </c>
      <c r="L129" s="8" t="n">
        <v>16.36</v>
      </c>
      <c r="M129" s="8" t="n">
        <v>0.1</v>
      </c>
      <c r="N129" s="8" t="n">
        <v>14.72</v>
      </c>
      <c r="O129" s="8" t="n">
        <v>1.97</v>
      </c>
    </row>
    <row r="130" customFormat="false" ht="15" hidden="false" customHeight="true" outlineLevel="0" collapsed="false">
      <c r="A130" s="8" t="s">
        <v>578</v>
      </c>
      <c r="B130" s="8" t="s">
        <v>579</v>
      </c>
      <c r="C130" s="8" t="s">
        <v>580</v>
      </c>
      <c r="D130" s="8" t="s">
        <v>581</v>
      </c>
      <c r="E130" s="8"/>
      <c r="F130" s="8" t="s">
        <v>154</v>
      </c>
      <c r="G130" s="8" t="s">
        <v>119</v>
      </c>
      <c r="H130" s="8" t="s">
        <v>114</v>
      </c>
      <c r="I130" s="8" t="s">
        <v>201</v>
      </c>
      <c r="J130" s="8" t="s">
        <v>39</v>
      </c>
      <c r="K130" s="8" t="n">
        <v>3</v>
      </c>
      <c r="L130" s="8" t="n">
        <v>387.1</v>
      </c>
      <c r="M130" s="8"/>
      <c r="N130" s="8" t="n">
        <v>1161.3</v>
      </c>
      <c r="O130" s="8" t="n">
        <v>294.91</v>
      </c>
    </row>
    <row r="131" customFormat="false" ht="15" hidden="false" customHeight="true" outlineLevel="0" collapsed="false">
      <c r="A131" s="8" t="s">
        <v>582</v>
      </c>
      <c r="B131" s="8" t="s">
        <v>583</v>
      </c>
      <c r="C131" s="8" t="s">
        <v>584</v>
      </c>
      <c r="D131" s="8" t="s">
        <v>585</v>
      </c>
      <c r="E131" s="8"/>
      <c r="F131" s="8" t="s">
        <v>35</v>
      </c>
      <c r="G131" s="8" t="s">
        <v>62</v>
      </c>
      <c r="H131" s="8" t="s">
        <v>83</v>
      </c>
      <c r="I131" s="8" t="s">
        <v>527</v>
      </c>
      <c r="J131" s="8" t="s">
        <v>29</v>
      </c>
      <c r="K131" s="8" t="n">
        <v>2</v>
      </c>
      <c r="L131" s="8" t="n">
        <v>127.85</v>
      </c>
      <c r="M131" s="8" t="n">
        <v>0.1</v>
      </c>
      <c r="N131" s="8" t="n">
        <v>230.13</v>
      </c>
      <c r="O131" s="8" t="n">
        <v>55.12</v>
      </c>
    </row>
    <row r="132" customFormat="false" ht="15" hidden="false" customHeight="true" outlineLevel="0" collapsed="false">
      <c r="A132" s="8" t="s">
        <v>586</v>
      </c>
      <c r="B132" s="8" t="s">
        <v>587</v>
      </c>
      <c r="C132" s="8" t="s">
        <v>588</v>
      </c>
      <c r="D132" s="8" t="s">
        <v>546</v>
      </c>
      <c r="E132" s="8" t="s">
        <v>34</v>
      </c>
      <c r="F132" s="8" t="s">
        <v>229</v>
      </c>
      <c r="G132" s="8" t="s">
        <v>119</v>
      </c>
      <c r="H132" s="8" t="s">
        <v>142</v>
      </c>
      <c r="I132" s="8" t="s">
        <v>143</v>
      </c>
      <c r="J132" s="8" t="s">
        <v>47</v>
      </c>
      <c r="K132" s="8" t="n">
        <v>2</v>
      </c>
      <c r="L132" s="8" t="n">
        <v>1130.74</v>
      </c>
      <c r="M132" s="8" t="n">
        <v>0.1</v>
      </c>
      <c r="N132" s="8" t="n">
        <v>2035.33</v>
      </c>
      <c r="O132" s="8" t="n">
        <v>390.56</v>
      </c>
    </row>
    <row r="133" customFormat="false" ht="15" hidden="false" customHeight="true" outlineLevel="0" collapsed="false">
      <c r="A133" s="8" t="s">
        <v>589</v>
      </c>
      <c r="B133" s="8" t="s">
        <v>590</v>
      </c>
      <c r="C133" s="8" t="s">
        <v>591</v>
      </c>
      <c r="D133" s="8" t="s">
        <v>592</v>
      </c>
      <c r="E133" s="8"/>
      <c r="F133" s="8" t="s">
        <v>229</v>
      </c>
      <c r="G133" s="8" t="s">
        <v>119</v>
      </c>
      <c r="H133" s="8" t="s">
        <v>359</v>
      </c>
      <c r="I133" s="8" t="s">
        <v>241</v>
      </c>
      <c r="J133" s="8" t="s">
        <v>39</v>
      </c>
      <c r="K133" s="8" t="n">
        <v>2</v>
      </c>
      <c r="L133" s="8" t="n">
        <v>833.4</v>
      </c>
      <c r="M133" s="8" t="n">
        <v>0.15</v>
      </c>
      <c r="N133" s="8" t="n">
        <v>21251.7</v>
      </c>
      <c r="O133" s="8" t="n">
        <v>-3079.92</v>
      </c>
    </row>
    <row r="134" customFormat="false" ht="15" hidden="false" customHeight="true" outlineLevel="0" collapsed="false">
      <c r="A134" s="8" t="s">
        <v>593</v>
      </c>
      <c r="B134" s="8" t="s">
        <v>594</v>
      </c>
      <c r="C134" s="8" t="s">
        <v>595</v>
      </c>
      <c r="D134" s="8" t="s">
        <v>596</v>
      </c>
      <c r="E134" s="8" t="s">
        <v>24</v>
      </c>
      <c r="F134" s="8" t="s">
        <v>126</v>
      </c>
      <c r="G134" s="8" t="s">
        <v>89</v>
      </c>
      <c r="H134" s="8" t="s">
        <v>27</v>
      </c>
      <c r="I134" s="8" t="s">
        <v>28</v>
      </c>
      <c r="J134" s="8" t="s">
        <v>64</v>
      </c>
      <c r="K134" s="8" t="n">
        <v>1</v>
      </c>
      <c r="L134" s="8" t="n">
        <v>266.25</v>
      </c>
      <c r="M134" s="8" t="n">
        <v>0.05</v>
      </c>
      <c r="N134" s="8" t="n">
        <v>252.94</v>
      </c>
      <c r="O134" s="8"/>
    </row>
    <row r="135" customFormat="false" ht="15" hidden="false" customHeight="true" outlineLevel="0" collapsed="false">
      <c r="A135" s="8" t="s">
        <v>597</v>
      </c>
      <c r="B135" s="8" t="s">
        <v>598</v>
      </c>
      <c r="C135" s="8" t="s">
        <v>599</v>
      </c>
      <c r="D135" s="8" t="s">
        <v>600</v>
      </c>
      <c r="E135" s="8" t="s">
        <v>34</v>
      </c>
      <c r="F135" s="8" t="s">
        <v>44</v>
      </c>
      <c r="G135" s="8" t="s">
        <v>76</v>
      </c>
      <c r="H135" s="8" t="s">
        <v>206</v>
      </c>
      <c r="I135" s="8" t="s">
        <v>404</v>
      </c>
      <c r="J135" s="8" t="s">
        <v>64</v>
      </c>
      <c r="K135" s="8" t="n">
        <v>5</v>
      </c>
      <c r="L135" s="8" t="n">
        <v>31.75</v>
      </c>
      <c r="M135" s="8"/>
      <c r="N135" s="8" t="n">
        <v>158.75</v>
      </c>
      <c r="O135" s="8" t="n">
        <v>24.91</v>
      </c>
    </row>
    <row r="136" customFormat="false" ht="15" hidden="false" customHeight="true" outlineLevel="0" collapsed="false">
      <c r="A136" s="8" t="s">
        <v>601</v>
      </c>
      <c r="B136" s="8" t="s">
        <v>602</v>
      </c>
      <c r="C136" s="8" t="s">
        <v>603</v>
      </c>
      <c r="D136" s="8" t="s">
        <v>43</v>
      </c>
      <c r="E136" s="8"/>
      <c r="F136" s="8" t="s">
        <v>200</v>
      </c>
      <c r="G136" s="8" t="s">
        <v>82</v>
      </c>
      <c r="H136" s="8" t="s">
        <v>280</v>
      </c>
      <c r="I136" s="8" t="s">
        <v>201</v>
      </c>
      <c r="J136" s="8" t="s">
        <v>29</v>
      </c>
      <c r="K136" s="8" t="n">
        <v>1</v>
      </c>
      <c r="L136" s="8" t="n">
        <v>176.65</v>
      </c>
      <c r="M136" s="8" t="n">
        <v>0.1</v>
      </c>
      <c r="N136" s="8" t="n">
        <v>158.99</v>
      </c>
      <c r="O136" s="8" t="n">
        <v>-15.43</v>
      </c>
    </row>
    <row r="137" customFormat="false" ht="15" hidden="false" customHeight="true" outlineLevel="0" collapsed="false">
      <c r="A137" s="8" t="s">
        <v>604</v>
      </c>
      <c r="B137" s="8" t="s">
        <v>605</v>
      </c>
      <c r="C137" s="8" t="s">
        <v>606</v>
      </c>
      <c r="D137" s="8" t="s">
        <v>607</v>
      </c>
      <c r="E137" s="8" t="s">
        <v>52</v>
      </c>
      <c r="F137" s="8" t="s">
        <v>154</v>
      </c>
      <c r="G137" s="8" t="s">
        <v>182</v>
      </c>
      <c r="H137" s="8" t="s">
        <v>148</v>
      </c>
      <c r="I137" s="8" t="s">
        <v>46</v>
      </c>
      <c r="J137" s="8" t="s">
        <v>29</v>
      </c>
      <c r="K137" s="8" t="n">
        <v>1</v>
      </c>
      <c r="L137" s="8" t="n">
        <v>52.5</v>
      </c>
      <c r="M137" s="8" t="n">
        <v>0.2</v>
      </c>
      <c r="N137" s="8" t="n">
        <v>42</v>
      </c>
      <c r="O137" s="8" t="n">
        <v>1.51</v>
      </c>
    </row>
    <row r="138" customFormat="false" ht="15" hidden="false" customHeight="true" outlineLevel="0" collapsed="false">
      <c r="A138" s="8" t="s">
        <v>608</v>
      </c>
      <c r="B138" s="8" t="s">
        <v>609</v>
      </c>
      <c r="C138" s="8" t="s">
        <v>610</v>
      </c>
      <c r="D138" s="8" t="s">
        <v>611</v>
      </c>
      <c r="E138" s="8" t="s">
        <v>34</v>
      </c>
      <c r="F138" s="8" t="s">
        <v>101</v>
      </c>
      <c r="G138" s="8" t="s">
        <v>182</v>
      </c>
      <c r="H138" s="8" t="s">
        <v>245</v>
      </c>
      <c r="I138" s="8" t="s">
        <v>297</v>
      </c>
      <c r="J138" s="8" t="s">
        <v>64</v>
      </c>
      <c r="K138" s="8" t="n">
        <v>5</v>
      </c>
      <c r="L138" s="8" t="n">
        <v>39.88</v>
      </c>
      <c r="M138" s="8" t="n">
        <v>0.2</v>
      </c>
      <c r="N138" s="8" t="n">
        <v>159.52</v>
      </c>
      <c r="O138" s="8" t="n">
        <v>-8.65</v>
      </c>
    </row>
    <row r="139" customFormat="false" ht="15" hidden="false" customHeight="true" outlineLevel="0" collapsed="false">
      <c r="A139" s="8" t="s">
        <v>612</v>
      </c>
      <c r="B139" s="8" t="s">
        <v>603</v>
      </c>
      <c r="C139" s="8" t="s">
        <v>442</v>
      </c>
      <c r="D139" s="8" t="s">
        <v>613</v>
      </c>
      <c r="E139" s="8" t="s">
        <v>24</v>
      </c>
      <c r="F139" s="8" t="s">
        <v>69</v>
      </c>
      <c r="G139" s="8" t="s">
        <v>89</v>
      </c>
      <c r="H139" s="8" t="s">
        <v>155</v>
      </c>
      <c r="I139" s="8" t="s">
        <v>160</v>
      </c>
      <c r="J139" s="8" t="s">
        <v>64</v>
      </c>
      <c r="K139" s="8" t="n">
        <v>5</v>
      </c>
      <c r="L139" s="8" t="n">
        <v>913.59</v>
      </c>
      <c r="M139" s="8"/>
      <c r="N139" s="8" t="n">
        <v>4567.95</v>
      </c>
      <c r="O139" s="8" t="n">
        <v>1036.89</v>
      </c>
    </row>
    <row r="140" customFormat="false" ht="15" hidden="false" customHeight="true" outlineLevel="0" collapsed="false">
      <c r="A140" s="8" t="s">
        <v>614</v>
      </c>
      <c r="B140" s="8" t="s">
        <v>615</v>
      </c>
      <c r="C140" s="8" t="s">
        <v>616</v>
      </c>
      <c r="D140" s="8" t="s">
        <v>617</v>
      </c>
      <c r="E140" s="8" t="s">
        <v>24</v>
      </c>
      <c r="F140" s="8" t="s">
        <v>35</v>
      </c>
      <c r="G140" s="8" t="s">
        <v>76</v>
      </c>
      <c r="H140" s="8" t="s">
        <v>55</v>
      </c>
      <c r="I140" s="8" t="s">
        <v>220</v>
      </c>
      <c r="J140" s="8" t="s">
        <v>39</v>
      </c>
      <c r="K140" s="8" t="n">
        <v>3</v>
      </c>
      <c r="L140" s="8" t="n">
        <v>1197.47</v>
      </c>
      <c r="M140" s="8"/>
      <c r="N140" s="8" t="n">
        <v>3592.41</v>
      </c>
      <c r="O140" s="8" t="n">
        <v>899.54</v>
      </c>
    </row>
    <row r="141" customFormat="false" ht="15" hidden="false" customHeight="true" outlineLevel="0" collapsed="false">
      <c r="A141" s="8" t="s">
        <v>618</v>
      </c>
      <c r="B141" s="8" t="s">
        <v>619</v>
      </c>
      <c r="C141" s="8" t="s">
        <v>620</v>
      </c>
      <c r="D141" s="8" t="s">
        <v>621</v>
      </c>
      <c r="E141" s="8"/>
      <c r="F141" s="8" t="s">
        <v>372</v>
      </c>
      <c r="G141" s="8" t="s">
        <v>54</v>
      </c>
      <c r="H141" s="8" t="s">
        <v>280</v>
      </c>
      <c r="I141" s="8" t="s">
        <v>96</v>
      </c>
      <c r="J141" s="8" t="s">
        <v>64</v>
      </c>
      <c r="K141" s="8" t="n">
        <v>4</v>
      </c>
      <c r="L141" s="8" t="n">
        <v>484.39</v>
      </c>
      <c r="M141" s="8" t="n">
        <v>0</v>
      </c>
      <c r="N141" s="8" t="n">
        <v>1937.56</v>
      </c>
      <c r="O141" s="8" t="n">
        <v>37.19</v>
      </c>
    </row>
    <row r="142" customFormat="false" ht="15" hidden="false" customHeight="true" outlineLevel="0" collapsed="false">
      <c r="A142" s="8" t="s">
        <v>622</v>
      </c>
      <c r="B142" s="8" t="s">
        <v>623</v>
      </c>
      <c r="C142" s="8" t="s">
        <v>624</v>
      </c>
      <c r="D142" s="8" t="s">
        <v>625</v>
      </c>
      <c r="E142" s="8" t="s">
        <v>24</v>
      </c>
      <c r="F142" s="8" t="s">
        <v>173</v>
      </c>
      <c r="G142" s="8" t="s">
        <v>102</v>
      </c>
      <c r="H142" s="8" t="s">
        <v>27</v>
      </c>
      <c r="I142" s="8" t="s">
        <v>138</v>
      </c>
      <c r="J142" s="8" t="s">
        <v>47</v>
      </c>
      <c r="K142" s="8" t="n">
        <v>1</v>
      </c>
      <c r="L142" s="8" t="n">
        <v>866.37</v>
      </c>
      <c r="M142" s="8"/>
      <c r="N142" s="8" t="n">
        <v>866.37</v>
      </c>
      <c r="O142" s="8" t="n">
        <v>227.47</v>
      </c>
    </row>
    <row r="143" customFormat="false" ht="15" hidden="false" customHeight="true" outlineLevel="0" collapsed="false">
      <c r="A143" s="8" t="s">
        <v>626</v>
      </c>
      <c r="B143" s="8" t="s">
        <v>627</v>
      </c>
      <c r="C143" s="8" t="s">
        <v>628</v>
      </c>
      <c r="D143" s="8" t="s">
        <v>629</v>
      </c>
      <c r="E143" s="8"/>
      <c r="F143" s="8" t="s">
        <v>69</v>
      </c>
      <c r="G143" s="8" t="s">
        <v>26</v>
      </c>
      <c r="H143" s="8" t="s">
        <v>95</v>
      </c>
      <c r="I143" s="8" t="s">
        <v>297</v>
      </c>
      <c r="J143" s="8" t="s">
        <v>39</v>
      </c>
      <c r="K143" s="8" t="n">
        <v>4</v>
      </c>
      <c r="L143" s="8" t="n">
        <v>436.04</v>
      </c>
      <c r="M143" s="8" t="n">
        <v>0</v>
      </c>
      <c r="N143" s="8" t="n">
        <v>1744.16</v>
      </c>
      <c r="O143" s="8" t="n">
        <v>262.75</v>
      </c>
    </row>
    <row r="144" customFormat="false" ht="15" hidden="false" customHeight="true" outlineLevel="0" collapsed="false">
      <c r="A144" s="8" t="s">
        <v>630</v>
      </c>
      <c r="B144" s="8" t="s">
        <v>631</v>
      </c>
      <c r="C144" s="8" t="s">
        <v>632</v>
      </c>
      <c r="D144" s="8" t="s">
        <v>633</v>
      </c>
      <c r="E144" s="8" t="s">
        <v>34</v>
      </c>
      <c r="F144" s="8" t="s">
        <v>44</v>
      </c>
      <c r="G144" s="8" t="s">
        <v>36</v>
      </c>
      <c r="H144" s="8" t="s">
        <v>132</v>
      </c>
      <c r="I144" s="8" t="s">
        <v>133</v>
      </c>
      <c r="J144" s="8" t="s">
        <v>47</v>
      </c>
      <c r="K144" s="8" t="n">
        <v>3</v>
      </c>
      <c r="L144" s="8" t="n">
        <v>922.76</v>
      </c>
      <c r="M144" s="8" t="n">
        <v>0.1</v>
      </c>
      <c r="N144" s="8" t="n">
        <v>2491.45</v>
      </c>
      <c r="O144" s="8" t="n">
        <v>366.3</v>
      </c>
    </row>
    <row r="145" customFormat="false" ht="15" hidden="false" customHeight="true" outlineLevel="0" collapsed="false">
      <c r="A145" s="8" t="s">
        <v>634</v>
      </c>
      <c r="B145" s="8" t="s">
        <v>635</v>
      </c>
      <c r="C145" s="8" t="s">
        <v>636</v>
      </c>
      <c r="D145" s="8" t="s">
        <v>637</v>
      </c>
      <c r="E145" s="8" t="s">
        <v>52</v>
      </c>
      <c r="F145" s="8" t="s">
        <v>147</v>
      </c>
      <c r="G145" s="8" t="s">
        <v>326</v>
      </c>
      <c r="H145" s="8" t="s">
        <v>77</v>
      </c>
      <c r="I145" s="8" t="s">
        <v>121</v>
      </c>
      <c r="J145" s="8" t="s">
        <v>39</v>
      </c>
      <c r="K145" s="8" t="n">
        <v>2</v>
      </c>
      <c r="L145" s="8" t="n">
        <v>1059.17</v>
      </c>
      <c r="M145" s="8" t="n">
        <v>0.1</v>
      </c>
      <c r="N145" s="8" t="n">
        <v>1906.51</v>
      </c>
      <c r="O145" s="8" t="n">
        <v>584.75</v>
      </c>
    </row>
    <row r="146" customFormat="false" ht="15" hidden="false" customHeight="true" outlineLevel="0" collapsed="false">
      <c r="A146" s="8" t="s">
        <v>638</v>
      </c>
      <c r="B146" s="8" t="s">
        <v>639</v>
      </c>
      <c r="C146" s="8" t="s">
        <v>640</v>
      </c>
      <c r="D146" s="8" t="s">
        <v>641</v>
      </c>
      <c r="E146" s="8" t="s">
        <v>34</v>
      </c>
      <c r="F146" s="8" t="s">
        <v>35</v>
      </c>
      <c r="G146" s="8" t="s">
        <v>76</v>
      </c>
      <c r="H146" s="8" t="s">
        <v>280</v>
      </c>
      <c r="I146" s="8" t="s">
        <v>115</v>
      </c>
      <c r="J146" s="8" t="s">
        <v>47</v>
      </c>
      <c r="K146" s="8" t="n">
        <v>3</v>
      </c>
      <c r="L146" s="8" t="n">
        <v>235.73</v>
      </c>
      <c r="M146" s="8" t="n">
        <v>0</v>
      </c>
      <c r="N146" s="8" t="n">
        <v>707.19</v>
      </c>
      <c r="O146" s="8" t="n">
        <v>201.83</v>
      </c>
    </row>
    <row r="147" customFormat="false" ht="15" hidden="false" customHeight="true" outlineLevel="0" collapsed="false">
      <c r="A147" s="8" t="s">
        <v>642</v>
      </c>
      <c r="B147" s="8" t="s">
        <v>643</v>
      </c>
      <c r="C147" s="8" t="s">
        <v>644</v>
      </c>
      <c r="D147" s="8" t="s">
        <v>645</v>
      </c>
      <c r="E147" s="8" t="s">
        <v>52</v>
      </c>
      <c r="F147" s="8" t="s">
        <v>154</v>
      </c>
      <c r="G147" s="8" t="s">
        <v>102</v>
      </c>
      <c r="H147" s="8" t="s">
        <v>45</v>
      </c>
      <c r="I147" s="8" t="s">
        <v>28</v>
      </c>
      <c r="J147" s="8" t="s">
        <v>29</v>
      </c>
      <c r="K147" s="8" t="n">
        <v>1</v>
      </c>
      <c r="L147" s="8" t="n">
        <v>330.16</v>
      </c>
      <c r="M147" s="8"/>
      <c r="N147" s="8" t="n">
        <v>330.16</v>
      </c>
      <c r="O147" s="8" t="n">
        <v>-16.54</v>
      </c>
    </row>
    <row r="148" customFormat="false" ht="15" hidden="false" customHeight="true" outlineLevel="0" collapsed="false">
      <c r="A148" s="8" t="s">
        <v>646</v>
      </c>
      <c r="B148" s="8" t="s">
        <v>647</v>
      </c>
      <c r="C148" s="8" t="s">
        <v>648</v>
      </c>
      <c r="D148" s="8" t="s">
        <v>649</v>
      </c>
      <c r="E148" s="8" t="s">
        <v>52</v>
      </c>
      <c r="F148" s="8" t="s">
        <v>372</v>
      </c>
      <c r="G148" s="8" t="s">
        <v>326</v>
      </c>
      <c r="H148" s="8" t="s">
        <v>120</v>
      </c>
      <c r="I148" s="8" t="s">
        <v>71</v>
      </c>
      <c r="J148" s="8" t="s">
        <v>64</v>
      </c>
      <c r="K148" s="8" t="n">
        <v>2</v>
      </c>
      <c r="L148" s="8" t="n">
        <v>440.24</v>
      </c>
      <c r="M148" s="8" t="n">
        <v>0</v>
      </c>
      <c r="N148" s="8" t="n">
        <v>880.48</v>
      </c>
      <c r="O148" s="8" t="n">
        <v>73.76</v>
      </c>
    </row>
    <row r="149" customFormat="false" ht="15" hidden="false" customHeight="true" outlineLevel="0" collapsed="false">
      <c r="A149" s="8" t="s">
        <v>650</v>
      </c>
      <c r="B149" s="8" t="s">
        <v>651</v>
      </c>
      <c r="C149" s="8" t="s">
        <v>652</v>
      </c>
      <c r="D149" s="8" t="s">
        <v>653</v>
      </c>
      <c r="E149" s="8"/>
      <c r="F149" s="8" t="s">
        <v>53</v>
      </c>
      <c r="G149" s="8" t="s">
        <v>326</v>
      </c>
      <c r="H149" s="8" t="s">
        <v>114</v>
      </c>
      <c r="I149" s="8" t="s">
        <v>115</v>
      </c>
      <c r="J149" s="8" t="s">
        <v>29</v>
      </c>
      <c r="K149" s="8" t="n">
        <v>5</v>
      </c>
      <c r="L149" s="8" t="n">
        <v>789.56</v>
      </c>
      <c r="M149" s="8" t="n">
        <v>0.05</v>
      </c>
      <c r="N149" s="8" t="n">
        <v>3750.41</v>
      </c>
      <c r="O149" s="8" t="n">
        <v>454.59</v>
      </c>
    </row>
    <row r="150" customFormat="false" ht="15" hidden="false" customHeight="true" outlineLevel="0" collapsed="false">
      <c r="A150" s="8" t="s">
        <v>654</v>
      </c>
      <c r="B150" s="8" t="s">
        <v>655</v>
      </c>
      <c r="C150" s="8" t="s">
        <v>656</v>
      </c>
      <c r="D150" s="8" t="s">
        <v>657</v>
      </c>
      <c r="E150" s="8" t="s">
        <v>24</v>
      </c>
      <c r="F150" s="8" t="s">
        <v>200</v>
      </c>
      <c r="G150" s="8" t="s">
        <v>82</v>
      </c>
      <c r="H150" s="8" t="s">
        <v>280</v>
      </c>
      <c r="I150" s="8" t="s">
        <v>297</v>
      </c>
      <c r="J150" s="8" t="s">
        <v>39</v>
      </c>
      <c r="K150" s="8" t="n">
        <v>4</v>
      </c>
      <c r="L150" s="8" t="n">
        <v>416.38</v>
      </c>
      <c r="M150" s="8"/>
      <c r="N150" s="8" t="n">
        <v>1665.52</v>
      </c>
      <c r="O150" s="8" t="n">
        <v>318.65</v>
      </c>
    </row>
    <row r="151" customFormat="false" ht="15" hidden="false" customHeight="true" outlineLevel="0" collapsed="false">
      <c r="A151" s="8" t="s">
        <v>658</v>
      </c>
      <c r="B151" s="8" t="s">
        <v>659</v>
      </c>
      <c r="C151" s="8" t="s">
        <v>660</v>
      </c>
      <c r="D151" s="8" t="s">
        <v>292</v>
      </c>
      <c r="E151" s="8" t="s">
        <v>34</v>
      </c>
      <c r="F151" s="8" t="s">
        <v>126</v>
      </c>
      <c r="G151" s="8" t="s">
        <v>26</v>
      </c>
      <c r="H151" s="8" t="s">
        <v>83</v>
      </c>
      <c r="I151" s="8" t="s">
        <v>404</v>
      </c>
      <c r="J151" s="8" t="s">
        <v>39</v>
      </c>
      <c r="K151" s="8" t="n">
        <v>1</v>
      </c>
      <c r="L151" s="8" t="n">
        <v>1162.24</v>
      </c>
      <c r="M151" s="8" t="n">
        <v>0.2</v>
      </c>
      <c r="N151" s="8" t="n">
        <v>929.79</v>
      </c>
      <c r="O151" s="8" t="n">
        <v>260.73</v>
      </c>
    </row>
    <row r="152" customFormat="false" ht="15" hidden="false" customHeight="true" outlineLevel="0" collapsed="false">
      <c r="A152" s="8" t="s">
        <v>661</v>
      </c>
      <c r="B152" s="8" t="s">
        <v>662</v>
      </c>
      <c r="C152" s="8" t="s">
        <v>663</v>
      </c>
      <c r="D152" s="8" t="s">
        <v>664</v>
      </c>
      <c r="E152" s="8"/>
      <c r="F152" s="8" t="s">
        <v>25</v>
      </c>
      <c r="G152" s="8" t="s">
        <v>89</v>
      </c>
      <c r="H152" s="8" t="s">
        <v>245</v>
      </c>
      <c r="I152" s="8" t="s">
        <v>96</v>
      </c>
      <c r="J152" s="8" t="s">
        <v>64</v>
      </c>
      <c r="K152" s="8" t="n">
        <v>2</v>
      </c>
      <c r="L152" s="8" t="n">
        <v>198.69</v>
      </c>
      <c r="M152" s="8" t="n">
        <v>0.2</v>
      </c>
      <c r="N152" s="8" t="n">
        <v>317.9</v>
      </c>
      <c r="O152" s="8" t="n">
        <v>76.11</v>
      </c>
    </row>
    <row r="153" customFormat="false" ht="15" hidden="false" customHeight="true" outlineLevel="0" collapsed="false">
      <c r="A153" s="8" t="s">
        <v>665</v>
      </c>
      <c r="B153" s="8" t="s">
        <v>666</v>
      </c>
      <c r="C153" s="8" t="s">
        <v>667</v>
      </c>
      <c r="D153" s="8" t="s">
        <v>668</v>
      </c>
      <c r="E153" s="8" t="s">
        <v>34</v>
      </c>
      <c r="F153" s="8" t="s">
        <v>229</v>
      </c>
      <c r="G153" s="8" t="s">
        <v>102</v>
      </c>
      <c r="H153" s="8" t="s">
        <v>280</v>
      </c>
      <c r="I153" s="8" t="s">
        <v>201</v>
      </c>
      <c r="J153" s="8" t="s">
        <v>64</v>
      </c>
      <c r="K153" s="8" t="n">
        <v>2</v>
      </c>
      <c r="L153" s="8" t="n">
        <v>1015.85</v>
      </c>
      <c r="M153" s="8" t="n">
        <v>0.15</v>
      </c>
      <c r="N153" s="8" t="n">
        <v>1726.94</v>
      </c>
      <c r="O153" s="8" t="n">
        <v>-111.1</v>
      </c>
    </row>
    <row r="154" customFormat="false" ht="15" hidden="false" customHeight="true" outlineLevel="0" collapsed="false">
      <c r="A154" s="8" t="s">
        <v>669</v>
      </c>
      <c r="B154" s="8" t="s">
        <v>393</v>
      </c>
      <c r="C154" s="8" t="s">
        <v>670</v>
      </c>
      <c r="D154" s="8" t="s">
        <v>671</v>
      </c>
      <c r="E154" s="8" t="s">
        <v>52</v>
      </c>
      <c r="F154" s="8" t="s">
        <v>173</v>
      </c>
      <c r="G154" s="8" t="s">
        <v>102</v>
      </c>
      <c r="H154" s="8" t="s">
        <v>148</v>
      </c>
      <c r="I154" s="8" t="s">
        <v>28</v>
      </c>
      <c r="J154" s="8" t="s">
        <v>47</v>
      </c>
      <c r="K154" s="8" t="n">
        <v>1</v>
      </c>
      <c r="L154" s="8" t="n">
        <v>705.94</v>
      </c>
      <c r="M154" s="8"/>
      <c r="N154" s="8" t="n">
        <v>705.94</v>
      </c>
      <c r="O154" s="8" t="n">
        <v>159.83</v>
      </c>
    </row>
    <row r="155" customFormat="false" ht="15" hidden="false" customHeight="true" outlineLevel="0" collapsed="false">
      <c r="A155" s="8" t="s">
        <v>672</v>
      </c>
      <c r="B155" s="8" t="s">
        <v>673</v>
      </c>
      <c r="C155" s="8" t="s">
        <v>674</v>
      </c>
      <c r="D155" s="8"/>
      <c r="E155" s="8" t="s">
        <v>34</v>
      </c>
      <c r="F155" s="8" t="s">
        <v>69</v>
      </c>
      <c r="G155" s="8" t="s">
        <v>89</v>
      </c>
      <c r="H155" s="8" t="s">
        <v>245</v>
      </c>
      <c r="I155" s="8" t="s">
        <v>109</v>
      </c>
      <c r="J155" s="8" t="s">
        <v>47</v>
      </c>
      <c r="K155" s="8" t="n">
        <v>3</v>
      </c>
      <c r="L155" s="8" t="n">
        <v>599.07</v>
      </c>
      <c r="M155" s="8" t="n">
        <v>0</v>
      </c>
      <c r="N155" s="8" t="n">
        <v>1797.21</v>
      </c>
      <c r="O155" s="8" t="n">
        <v>-111.1</v>
      </c>
    </row>
    <row r="156" customFormat="false" ht="15" hidden="false" customHeight="true" outlineLevel="0" collapsed="false">
      <c r="A156" s="8" t="s">
        <v>675</v>
      </c>
      <c r="B156" s="8" t="s">
        <v>676</v>
      </c>
      <c r="C156" s="8" t="s">
        <v>677</v>
      </c>
      <c r="D156" s="8" t="s">
        <v>678</v>
      </c>
      <c r="E156" s="8" t="s">
        <v>34</v>
      </c>
      <c r="F156" s="8" t="s">
        <v>126</v>
      </c>
      <c r="G156" s="8" t="s">
        <v>26</v>
      </c>
      <c r="H156" s="8" t="s">
        <v>103</v>
      </c>
      <c r="I156" s="8" t="s">
        <v>220</v>
      </c>
      <c r="J156" s="8" t="s">
        <v>39</v>
      </c>
      <c r="K156" s="8" t="n">
        <v>2</v>
      </c>
      <c r="L156" s="8" t="n">
        <v>341.8</v>
      </c>
      <c r="M156" s="8" t="n">
        <v>0.2</v>
      </c>
      <c r="N156" s="8" t="n">
        <v>546.88</v>
      </c>
      <c r="O156" s="8" t="n">
        <v>164.06</v>
      </c>
    </row>
    <row r="157" customFormat="false" ht="15" hidden="false" customHeight="true" outlineLevel="0" collapsed="false">
      <c r="A157" s="8" t="s">
        <v>679</v>
      </c>
      <c r="B157" s="8" t="s">
        <v>680</v>
      </c>
      <c r="C157" s="8" t="s">
        <v>163</v>
      </c>
      <c r="D157" s="8" t="s">
        <v>681</v>
      </c>
      <c r="E157" s="8" t="s">
        <v>34</v>
      </c>
      <c r="F157" s="8" t="s">
        <v>69</v>
      </c>
      <c r="G157" s="8" t="s">
        <v>26</v>
      </c>
      <c r="H157" s="8" t="s">
        <v>206</v>
      </c>
      <c r="I157" s="8" t="s">
        <v>527</v>
      </c>
      <c r="J157" s="8" t="s">
        <v>29</v>
      </c>
      <c r="K157" s="8" t="n">
        <v>2</v>
      </c>
      <c r="L157" s="8" t="n">
        <v>858.72</v>
      </c>
      <c r="M157" s="8"/>
      <c r="N157" s="8" t="n">
        <v>1717.44</v>
      </c>
      <c r="O157" s="8" t="n">
        <v>361.79</v>
      </c>
    </row>
    <row r="158" customFormat="false" ht="15" hidden="false" customHeight="true" outlineLevel="0" collapsed="false">
      <c r="A158" s="8" t="s">
        <v>682</v>
      </c>
      <c r="B158" s="8" t="s">
        <v>683</v>
      </c>
      <c r="C158" s="8" t="s">
        <v>684</v>
      </c>
      <c r="D158" s="8" t="s">
        <v>685</v>
      </c>
      <c r="E158" s="8" t="s">
        <v>24</v>
      </c>
      <c r="F158" s="8" t="s">
        <v>53</v>
      </c>
      <c r="G158" s="8" t="s">
        <v>326</v>
      </c>
      <c r="H158" s="8" t="s">
        <v>120</v>
      </c>
      <c r="I158" s="8" t="s">
        <v>71</v>
      </c>
      <c r="J158" s="8" t="s">
        <v>47</v>
      </c>
      <c r="K158" s="8"/>
      <c r="L158" s="8" t="n">
        <v>159.02</v>
      </c>
      <c r="M158" s="8"/>
      <c r="N158" s="8" t="n">
        <v>159.02</v>
      </c>
      <c r="O158" s="8" t="n">
        <v>7.52</v>
      </c>
    </row>
    <row r="159" customFormat="false" ht="15" hidden="false" customHeight="true" outlineLevel="0" collapsed="false">
      <c r="A159" s="8" t="s">
        <v>686</v>
      </c>
      <c r="B159" s="8" t="s">
        <v>687</v>
      </c>
      <c r="C159" s="8" t="s">
        <v>688</v>
      </c>
      <c r="D159" s="8" t="s">
        <v>689</v>
      </c>
      <c r="E159" s="8" t="s">
        <v>34</v>
      </c>
      <c r="F159" s="8" t="s">
        <v>200</v>
      </c>
      <c r="G159" s="8" t="s">
        <v>82</v>
      </c>
      <c r="H159" s="8" t="s">
        <v>191</v>
      </c>
      <c r="I159" s="8" t="s">
        <v>127</v>
      </c>
      <c r="J159" s="8" t="s">
        <v>64</v>
      </c>
      <c r="K159" s="8" t="n">
        <v>2</v>
      </c>
      <c r="L159" s="8" t="n">
        <v>1158.77</v>
      </c>
      <c r="M159" s="8" t="n">
        <v>0.1</v>
      </c>
      <c r="N159" s="8" t="n">
        <v>2085.79</v>
      </c>
      <c r="O159" s="8" t="n">
        <v>-68.54</v>
      </c>
    </row>
    <row r="160" customFormat="false" ht="15" hidden="false" customHeight="true" outlineLevel="0" collapsed="false">
      <c r="A160" s="8" t="s">
        <v>690</v>
      </c>
      <c r="B160" s="8" t="s">
        <v>691</v>
      </c>
      <c r="C160" s="8" t="s">
        <v>692</v>
      </c>
      <c r="D160" s="8" t="s">
        <v>693</v>
      </c>
      <c r="E160" s="8" t="s">
        <v>34</v>
      </c>
      <c r="F160" s="8" t="s">
        <v>372</v>
      </c>
      <c r="G160" s="8" t="s">
        <v>215</v>
      </c>
      <c r="H160" s="8" t="s">
        <v>191</v>
      </c>
      <c r="I160" s="8" t="s">
        <v>78</v>
      </c>
      <c r="J160" s="8" t="s">
        <v>47</v>
      </c>
      <c r="K160" s="8" t="n">
        <v>2</v>
      </c>
      <c r="L160" s="8" t="n">
        <v>689.57</v>
      </c>
      <c r="M160" s="8"/>
      <c r="N160" s="8" t="n">
        <v>1379.14</v>
      </c>
      <c r="O160" s="8" t="n">
        <v>18.51</v>
      </c>
    </row>
    <row r="161" customFormat="false" ht="15" hidden="false" customHeight="true" outlineLevel="0" collapsed="false">
      <c r="A161" s="8" t="s">
        <v>694</v>
      </c>
      <c r="B161" s="8" t="s">
        <v>695</v>
      </c>
      <c r="C161" s="8" t="s">
        <v>696</v>
      </c>
      <c r="D161" s="8"/>
      <c r="E161" s="8" t="s">
        <v>52</v>
      </c>
      <c r="F161" s="8" t="s">
        <v>173</v>
      </c>
      <c r="G161" s="8" t="s">
        <v>119</v>
      </c>
      <c r="H161" s="8" t="s">
        <v>120</v>
      </c>
      <c r="I161" s="8" t="s">
        <v>71</v>
      </c>
      <c r="J161" s="8" t="s">
        <v>29</v>
      </c>
      <c r="K161" s="8" t="n">
        <v>2</v>
      </c>
      <c r="L161" s="8" t="n">
        <v>714.45</v>
      </c>
      <c r="M161" s="8" t="n">
        <v>0.2</v>
      </c>
      <c r="N161" s="8" t="n">
        <v>1143.12</v>
      </c>
      <c r="O161" s="8" t="n">
        <v>394</v>
      </c>
    </row>
    <row r="162" customFormat="false" ht="15" hidden="false" customHeight="true" outlineLevel="0" collapsed="false">
      <c r="A162" s="8" t="s">
        <v>697</v>
      </c>
      <c r="B162" s="8" t="s">
        <v>698</v>
      </c>
      <c r="C162" s="8" t="s">
        <v>699</v>
      </c>
      <c r="D162" s="8" t="s">
        <v>700</v>
      </c>
      <c r="E162" s="8" t="s">
        <v>52</v>
      </c>
      <c r="F162" s="8" t="s">
        <v>25</v>
      </c>
      <c r="G162" s="8" t="s">
        <v>26</v>
      </c>
      <c r="H162" s="8" t="s">
        <v>77</v>
      </c>
      <c r="I162" s="8" t="s">
        <v>71</v>
      </c>
      <c r="J162" s="8" t="s">
        <v>39</v>
      </c>
      <c r="K162" s="8" t="n">
        <v>2</v>
      </c>
      <c r="L162" s="8" t="n">
        <v>624.85</v>
      </c>
      <c r="M162" s="8" t="n">
        <v>0.15</v>
      </c>
      <c r="N162" s="8" t="n">
        <v>1062.25</v>
      </c>
      <c r="O162" s="8" t="n">
        <v>114.3</v>
      </c>
    </row>
    <row r="163" customFormat="false" ht="15" hidden="false" customHeight="true" outlineLevel="0" collapsed="false">
      <c r="A163" s="8" t="s">
        <v>634</v>
      </c>
      <c r="B163" s="8" t="s">
        <v>635</v>
      </c>
      <c r="C163" s="8" t="s">
        <v>636</v>
      </c>
      <c r="D163" s="8" t="s">
        <v>637</v>
      </c>
      <c r="E163" s="8" t="s">
        <v>52</v>
      </c>
      <c r="F163" s="8" t="s">
        <v>147</v>
      </c>
      <c r="G163" s="8" t="s">
        <v>326</v>
      </c>
      <c r="H163" s="8" t="s">
        <v>77</v>
      </c>
      <c r="I163" s="8" t="s">
        <v>121</v>
      </c>
      <c r="J163" s="8" t="s">
        <v>39</v>
      </c>
      <c r="K163" s="8" t="n">
        <v>2</v>
      </c>
      <c r="L163" s="8" t="n">
        <v>1059.17</v>
      </c>
      <c r="M163" s="8" t="n">
        <v>0.1</v>
      </c>
      <c r="N163" s="8" t="n">
        <v>1906.51</v>
      </c>
      <c r="O163" s="8" t="n">
        <v>584.75</v>
      </c>
    </row>
    <row r="164" customFormat="false" ht="15" hidden="false" customHeight="true" outlineLevel="0" collapsed="false">
      <c r="A164" s="8" t="s">
        <v>701</v>
      </c>
      <c r="B164" s="8" t="s">
        <v>702</v>
      </c>
      <c r="C164" s="8" t="s">
        <v>703</v>
      </c>
      <c r="D164" s="8" t="s">
        <v>704</v>
      </c>
      <c r="E164" s="8" t="s">
        <v>24</v>
      </c>
      <c r="F164" s="8" t="s">
        <v>94</v>
      </c>
      <c r="G164" s="8" t="s">
        <v>54</v>
      </c>
      <c r="H164" s="8" t="s">
        <v>27</v>
      </c>
      <c r="I164" s="8" t="s">
        <v>28</v>
      </c>
      <c r="J164" s="8" t="s">
        <v>64</v>
      </c>
      <c r="K164" s="8" t="n">
        <v>4</v>
      </c>
      <c r="L164" s="8" t="n">
        <v>707</v>
      </c>
      <c r="M164" s="8"/>
      <c r="N164" s="8" t="n">
        <v>2828</v>
      </c>
      <c r="O164" s="8" t="n">
        <v>-245.27</v>
      </c>
    </row>
    <row r="165" customFormat="false" ht="15" hidden="false" customHeight="true" outlineLevel="0" collapsed="false">
      <c r="A165" s="8" t="s">
        <v>705</v>
      </c>
      <c r="B165" s="8" t="s">
        <v>706</v>
      </c>
      <c r="C165" s="8" t="s">
        <v>707</v>
      </c>
      <c r="D165" s="8" t="s">
        <v>708</v>
      </c>
      <c r="E165" s="8" t="s">
        <v>34</v>
      </c>
      <c r="F165" s="8" t="s">
        <v>126</v>
      </c>
      <c r="G165" s="8" t="s">
        <v>82</v>
      </c>
      <c r="H165" s="8" t="s">
        <v>359</v>
      </c>
      <c r="I165" s="8" t="s">
        <v>63</v>
      </c>
      <c r="J165" s="8" t="s">
        <v>64</v>
      </c>
      <c r="K165" s="8" t="n">
        <v>5</v>
      </c>
      <c r="L165" s="8" t="n">
        <v>916.19</v>
      </c>
      <c r="M165" s="8"/>
      <c r="N165" s="8" t="n">
        <v>4580.95</v>
      </c>
      <c r="O165" s="8" t="n">
        <v>1538.87</v>
      </c>
    </row>
    <row r="166" customFormat="false" ht="15" hidden="false" customHeight="true" outlineLevel="0" collapsed="false">
      <c r="A166" s="8" t="s">
        <v>709</v>
      </c>
      <c r="B166" s="8" t="s">
        <v>255</v>
      </c>
      <c r="C166" s="8" t="s">
        <v>710</v>
      </c>
      <c r="D166" s="8" t="s">
        <v>711</v>
      </c>
      <c r="E166" s="8" t="s">
        <v>52</v>
      </c>
      <c r="F166" s="8" t="s">
        <v>25</v>
      </c>
      <c r="G166" s="8" t="s">
        <v>89</v>
      </c>
      <c r="H166" s="8" t="s">
        <v>95</v>
      </c>
      <c r="I166" s="8" t="s">
        <v>297</v>
      </c>
      <c r="J166" s="8" t="s">
        <v>39</v>
      </c>
      <c r="K166" s="8" t="n">
        <v>5</v>
      </c>
      <c r="L166" s="8" t="n">
        <v>406.99</v>
      </c>
      <c r="M166" s="8" t="n">
        <v>0.15</v>
      </c>
      <c r="N166" s="8" t="n">
        <v>1729.71</v>
      </c>
      <c r="O166" s="8" t="n">
        <v>-165.07</v>
      </c>
    </row>
    <row r="167" customFormat="false" ht="15" hidden="false" customHeight="true" outlineLevel="0" collapsed="false">
      <c r="A167" s="8" t="s">
        <v>196</v>
      </c>
      <c r="B167" s="8" t="s">
        <v>197</v>
      </c>
      <c r="C167" s="8" t="s">
        <v>198</v>
      </c>
      <c r="D167" s="8" t="s">
        <v>199</v>
      </c>
      <c r="E167" s="8"/>
      <c r="F167" s="8" t="s">
        <v>200</v>
      </c>
      <c r="G167" s="8" t="s">
        <v>82</v>
      </c>
      <c r="H167" s="8" t="s">
        <v>114</v>
      </c>
      <c r="I167" s="8" t="s">
        <v>201</v>
      </c>
      <c r="J167" s="8" t="s">
        <v>47</v>
      </c>
      <c r="K167" s="8" t="n">
        <v>5</v>
      </c>
      <c r="L167" s="8" t="n">
        <v>449.67</v>
      </c>
      <c r="M167" s="8" t="n">
        <v>0.1</v>
      </c>
      <c r="N167" s="8" t="n">
        <v>2023.51</v>
      </c>
      <c r="O167" s="8" t="n">
        <v>345.96</v>
      </c>
    </row>
    <row r="168" customFormat="false" ht="15" hidden="false" customHeight="true" outlineLevel="0" collapsed="false">
      <c r="A168" s="8" t="s">
        <v>712</v>
      </c>
      <c r="B168" s="8" t="s">
        <v>713</v>
      </c>
      <c r="C168" s="8" t="s">
        <v>714</v>
      </c>
      <c r="D168" s="8" t="s">
        <v>715</v>
      </c>
      <c r="E168" s="8" t="s">
        <v>34</v>
      </c>
      <c r="F168" s="8" t="s">
        <v>154</v>
      </c>
      <c r="G168" s="8" t="s">
        <v>182</v>
      </c>
      <c r="H168" s="8" t="s">
        <v>37</v>
      </c>
      <c r="I168" s="8" t="s">
        <v>38</v>
      </c>
      <c r="J168" s="8" t="s">
        <v>29</v>
      </c>
      <c r="K168" s="8" t="n">
        <v>4</v>
      </c>
      <c r="L168" s="8" t="n">
        <v>424.47</v>
      </c>
      <c r="M168" s="8" t="n">
        <v>0.05</v>
      </c>
      <c r="N168" s="8" t="n">
        <v>1612.99</v>
      </c>
      <c r="O168" s="8" t="n">
        <v>223.75</v>
      </c>
    </row>
    <row r="169" customFormat="false" ht="15" hidden="false" customHeight="true" outlineLevel="0" collapsed="false">
      <c r="A169" s="8" t="s">
        <v>716</v>
      </c>
      <c r="B169" s="8" t="s">
        <v>717</v>
      </c>
      <c r="C169" s="8" t="s">
        <v>718</v>
      </c>
      <c r="D169" s="8" t="s">
        <v>719</v>
      </c>
      <c r="E169" s="8"/>
      <c r="F169" s="8" t="s">
        <v>53</v>
      </c>
      <c r="G169" s="8" t="s">
        <v>54</v>
      </c>
      <c r="H169" s="8" t="s">
        <v>77</v>
      </c>
      <c r="I169" s="8" t="s">
        <v>127</v>
      </c>
      <c r="J169" s="8" t="s">
        <v>47</v>
      </c>
      <c r="K169" s="8" t="n">
        <v>2</v>
      </c>
      <c r="L169" s="8" t="n">
        <v>845.45</v>
      </c>
      <c r="M169" s="8"/>
      <c r="N169" s="8" t="n">
        <v>1690.9</v>
      </c>
      <c r="O169" s="8" t="n">
        <v>431.92</v>
      </c>
    </row>
    <row r="170" customFormat="false" ht="15" hidden="false" customHeight="true" outlineLevel="0" collapsed="false">
      <c r="A170" s="8" t="s">
        <v>720</v>
      </c>
      <c r="B170" s="8" t="s">
        <v>721</v>
      </c>
      <c r="C170" s="8" t="s">
        <v>722</v>
      </c>
      <c r="D170" s="8" t="s">
        <v>723</v>
      </c>
      <c r="E170" s="8" t="s">
        <v>24</v>
      </c>
      <c r="F170" s="8" t="s">
        <v>53</v>
      </c>
      <c r="G170" s="8" t="s">
        <v>54</v>
      </c>
      <c r="H170" s="8" t="s">
        <v>103</v>
      </c>
      <c r="I170" s="8" t="s">
        <v>56</v>
      </c>
      <c r="J170" s="8" t="s">
        <v>39</v>
      </c>
      <c r="K170" s="8" t="n">
        <v>2</v>
      </c>
      <c r="L170" s="8" t="n">
        <v>319.6</v>
      </c>
      <c r="M170" s="8" t="n">
        <v>0.2</v>
      </c>
      <c r="N170" s="8" t="n">
        <v>511.36</v>
      </c>
      <c r="O170" s="8" t="n">
        <v>39.68</v>
      </c>
    </row>
    <row r="171" customFormat="false" ht="15" hidden="false" customHeight="true" outlineLevel="0" collapsed="false">
      <c r="A171" s="8" t="s">
        <v>724</v>
      </c>
      <c r="B171" s="8" t="s">
        <v>725</v>
      </c>
      <c r="C171" s="8" t="s">
        <v>726</v>
      </c>
      <c r="D171" s="8" t="s">
        <v>723</v>
      </c>
      <c r="E171" s="8"/>
      <c r="F171" s="8" t="s">
        <v>25</v>
      </c>
      <c r="G171" s="8" t="s">
        <v>82</v>
      </c>
      <c r="H171" s="8" t="s">
        <v>45</v>
      </c>
      <c r="I171" s="8" t="s">
        <v>28</v>
      </c>
      <c r="J171" s="8" t="s">
        <v>64</v>
      </c>
      <c r="K171" s="8" t="n">
        <v>1</v>
      </c>
      <c r="L171" s="8" t="n">
        <v>1169.56</v>
      </c>
      <c r="M171" s="8" t="n">
        <v>0</v>
      </c>
      <c r="N171" s="8" t="n">
        <v>1169.56</v>
      </c>
      <c r="O171" s="8" t="n">
        <v>41.71</v>
      </c>
    </row>
    <row r="172" customFormat="false" ht="15" hidden="false" customHeight="true" outlineLevel="0" collapsed="false">
      <c r="A172" s="8" t="s">
        <v>727</v>
      </c>
      <c r="B172" s="8" t="s">
        <v>728</v>
      </c>
      <c r="C172" s="8" t="s">
        <v>729</v>
      </c>
      <c r="D172" s="8" t="s">
        <v>730</v>
      </c>
      <c r="E172" s="8" t="s">
        <v>34</v>
      </c>
      <c r="F172" s="8" t="s">
        <v>126</v>
      </c>
      <c r="G172" s="8" t="s">
        <v>82</v>
      </c>
      <c r="H172" s="8" t="s">
        <v>132</v>
      </c>
      <c r="I172" s="8" t="s">
        <v>104</v>
      </c>
      <c r="J172" s="8" t="s">
        <v>39</v>
      </c>
      <c r="K172" s="8" t="n">
        <v>3</v>
      </c>
      <c r="L172" s="8" t="n">
        <v>182.58</v>
      </c>
      <c r="M172" s="8" t="n">
        <v>0.05</v>
      </c>
      <c r="N172" s="8" t="n">
        <v>520.35</v>
      </c>
      <c r="O172" s="8" t="n">
        <v>68.18</v>
      </c>
    </row>
    <row r="173" customFormat="false" ht="15" hidden="false" customHeight="true" outlineLevel="0" collapsed="false">
      <c r="A173" s="8" t="s">
        <v>731</v>
      </c>
      <c r="B173" s="8" t="s">
        <v>732</v>
      </c>
      <c r="C173" s="8" t="s">
        <v>418</v>
      </c>
      <c r="D173" s="8" t="s">
        <v>733</v>
      </c>
      <c r="E173" s="8"/>
      <c r="F173" s="8" t="s">
        <v>147</v>
      </c>
      <c r="G173" s="8" t="s">
        <v>215</v>
      </c>
      <c r="H173" s="8" t="s">
        <v>95</v>
      </c>
      <c r="I173" s="8" t="s">
        <v>109</v>
      </c>
      <c r="J173" s="8" t="s">
        <v>29</v>
      </c>
      <c r="K173" s="8" t="n">
        <v>1</v>
      </c>
      <c r="L173" s="8" t="n">
        <v>226.76</v>
      </c>
      <c r="M173" s="8"/>
      <c r="N173" s="8" t="n">
        <v>226.76</v>
      </c>
      <c r="O173" s="8" t="n">
        <v>41.15</v>
      </c>
    </row>
    <row r="174" customFormat="false" ht="15" hidden="false" customHeight="true" outlineLevel="0" collapsed="false">
      <c r="A174" s="8" t="s">
        <v>734</v>
      </c>
      <c r="B174" s="8" t="s">
        <v>735</v>
      </c>
      <c r="C174" s="8" t="s">
        <v>329</v>
      </c>
      <c r="D174" s="8" t="s">
        <v>736</v>
      </c>
      <c r="E174" s="8" t="s">
        <v>24</v>
      </c>
      <c r="F174" s="8" t="s">
        <v>61</v>
      </c>
      <c r="G174" s="8" t="s">
        <v>76</v>
      </c>
      <c r="H174" s="8" t="s">
        <v>103</v>
      </c>
      <c r="I174" s="8" t="s">
        <v>241</v>
      </c>
      <c r="J174" s="8" t="s">
        <v>47</v>
      </c>
      <c r="K174" s="8" t="n">
        <v>1</v>
      </c>
      <c r="L174" s="8" t="n">
        <v>680.54</v>
      </c>
      <c r="M174" s="8" t="n">
        <v>0.2</v>
      </c>
      <c r="N174" s="8" t="n">
        <v>544.43</v>
      </c>
      <c r="O174" s="8" t="n">
        <v>133.5</v>
      </c>
    </row>
    <row r="175" customFormat="false" ht="15" hidden="false" customHeight="true" outlineLevel="0" collapsed="false">
      <c r="A175" s="8" t="s">
        <v>737</v>
      </c>
      <c r="B175" s="8" t="s">
        <v>738</v>
      </c>
      <c r="C175" s="8" t="s">
        <v>673</v>
      </c>
      <c r="D175" s="8" t="s">
        <v>739</v>
      </c>
      <c r="E175" s="8" t="s">
        <v>52</v>
      </c>
      <c r="F175" s="8" t="s">
        <v>61</v>
      </c>
      <c r="G175" s="8" t="s">
        <v>76</v>
      </c>
      <c r="H175" s="8" t="s">
        <v>191</v>
      </c>
      <c r="I175" s="8" t="s">
        <v>71</v>
      </c>
      <c r="J175" s="8" t="s">
        <v>29</v>
      </c>
      <c r="K175" s="8"/>
      <c r="L175" s="8" t="n">
        <v>1107.62</v>
      </c>
      <c r="M175" s="8" t="n">
        <v>0.1</v>
      </c>
      <c r="N175" s="8" t="n">
        <v>996.86</v>
      </c>
      <c r="O175" s="8" t="n">
        <v>72.03</v>
      </c>
    </row>
    <row r="176" customFormat="false" ht="15" hidden="false" customHeight="true" outlineLevel="0" collapsed="false">
      <c r="A176" s="8" t="s">
        <v>740</v>
      </c>
      <c r="B176" s="8" t="s">
        <v>741</v>
      </c>
      <c r="C176" s="8" t="s">
        <v>742</v>
      </c>
      <c r="D176" s="8" t="s">
        <v>43</v>
      </c>
      <c r="E176" s="8" t="s">
        <v>52</v>
      </c>
      <c r="F176" s="8" t="s">
        <v>53</v>
      </c>
      <c r="G176" s="8" t="s">
        <v>215</v>
      </c>
      <c r="H176" s="8" t="s">
        <v>206</v>
      </c>
      <c r="I176" s="8" t="s">
        <v>143</v>
      </c>
      <c r="J176" s="8" t="s">
        <v>39</v>
      </c>
      <c r="K176" s="8" t="n">
        <v>5</v>
      </c>
      <c r="L176" s="8" t="n">
        <v>344.56</v>
      </c>
      <c r="M176" s="8"/>
      <c r="N176" s="8" t="n">
        <v>1722.8</v>
      </c>
      <c r="O176" s="8" t="n">
        <v>577.94</v>
      </c>
    </row>
    <row r="177" customFormat="false" ht="15" hidden="false" customHeight="true" outlineLevel="0" collapsed="false">
      <c r="A177" s="8" t="s">
        <v>743</v>
      </c>
      <c r="B177" s="8" t="s">
        <v>744</v>
      </c>
      <c r="C177" s="8" t="s">
        <v>745</v>
      </c>
      <c r="D177" s="8" t="s">
        <v>746</v>
      </c>
      <c r="E177" s="8"/>
      <c r="F177" s="8" t="s">
        <v>25</v>
      </c>
      <c r="G177" s="8" t="s">
        <v>26</v>
      </c>
      <c r="H177" s="8" t="s">
        <v>132</v>
      </c>
      <c r="I177" s="8" t="s">
        <v>133</v>
      </c>
      <c r="J177" s="8" t="s">
        <v>29</v>
      </c>
      <c r="K177" s="8" t="n">
        <v>2</v>
      </c>
      <c r="L177" s="8" t="n">
        <v>568.64</v>
      </c>
      <c r="M177" s="8" t="n">
        <v>0.2</v>
      </c>
      <c r="N177" s="8" t="n">
        <v>909.82</v>
      </c>
      <c r="O177" s="8" t="n">
        <v>160.39</v>
      </c>
    </row>
    <row r="178" customFormat="false" ht="15" hidden="false" customHeight="true" outlineLevel="0" collapsed="false">
      <c r="A178" s="8" t="s">
        <v>747</v>
      </c>
      <c r="B178" s="8" t="s">
        <v>748</v>
      </c>
      <c r="C178" s="8" t="s">
        <v>499</v>
      </c>
      <c r="D178" s="8" t="s">
        <v>749</v>
      </c>
      <c r="E178" s="8"/>
      <c r="F178" s="8" t="s">
        <v>147</v>
      </c>
      <c r="G178" s="8" t="s">
        <v>326</v>
      </c>
      <c r="H178" s="8" t="s">
        <v>114</v>
      </c>
      <c r="I178" s="8" t="s">
        <v>96</v>
      </c>
      <c r="J178" s="8" t="s">
        <v>29</v>
      </c>
      <c r="K178" s="8" t="n">
        <v>4</v>
      </c>
      <c r="L178" s="8" t="n">
        <v>930.39</v>
      </c>
      <c r="M178" s="8" t="n">
        <v>0.2</v>
      </c>
      <c r="N178" s="8" t="n">
        <v>2977.25</v>
      </c>
      <c r="O178" s="8" t="n">
        <v>174.01</v>
      </c>
    </row>
    <row r="179" customFormat="false" ht="15" hidden="false" customHeight="true" outlineLevel="0" collapsed="false">
      <c r="A179" s="8" t="s">
        <v>750</v>
      </c>
      <c r="B179" s="8" t="s">
        <v>751</v>
      </c>
      <c r="C179" s="8" t="s">
        <v>752</v>
      </c>
      <c r="D179" s="8" t="s">
        <v>753</v>
      </c>
      <c r="E179" s="8" t="s">
        <v>52</v>
      </c>
      <c r="F179" s="8" t="s">
        <v>372</v>
      </c>
      <c r="G179" s="8" t="s">
        <v>215</v>
      </c>
      <c r="H179" s="8" t="s">
        <v>148</v>
      </c>
      <c r="I179" s="8" t="s">
        <v>46</v>
      </c>
      <c r="J179" s="8" t="s">
        <v>47</v>
      </c>
      <c r="K179" s="8" t="n">
        <v>1</v>
      </c>
      <c r="L179" s="8" t="n">
        <v>865.38</v>
      </c>
      <c r="M179" s="8" t="n">
        <v>0.15</v>
      </c>
      <c r="N179" s="8" t="n">
        <v>735.57</v>
      </c>
      <c r="O179" s="8" t="n">
        <v>125.5</v>
      </c>
    </row>
    <row r="180" customFormat="false" ht="15" hidden="false" customHeight="true" outlineLevel="0" collapsed="false">
      <c r="A180" s="8" t="s">
        <v>754</v>
      </c>
      <c r="B180" s="8" t="s">
        <v>755</v>
      </c>
      <c r="C180" s="8" t="s">
        <v>756</v>
      </c>
      <c r="D180" s="8" t="s">
        <v>757</v>
      </c>
      <c r="E180" s="8"/>
      <c r="F180" s="8" t="s">
        <v>101</v>
      </c>
      <c r="G180" s="8" t="s">
        <v>182</v>
      </c>
      <c r="H180" s="8" t="s">
        <v>55</v>
      </c>
      <c r="I180" s="8" t="s">
        <v>133</v>
      </c>
      <c r="J180" s="8" t="s">
        <v>64</v>
      </c>
      <c r="K180" s="8" t="n">
        <v>2</v>
      </c>
      <c r="L180" s="8" t="n">
        <v>292.96</v>
      </c>
      <c r="M180" s="8" t="n">
        <v>0.2</v>
      </c>
      <c r="N180" s="8" t="n">
        <v>468.74</v>
      </c>
      <c r="O180" s="8" t="n">
        <v>4.43</v>
      </c>
    </row>
    <row r="181" customFormat="false" ht="15" hidden="false" customHeight="true" outlineLevel="0" collapsed="false">
      <c r="A181" s="8" t="s">
        <v>758</v>
      </c>
      <c r="B181" s="8" t="s">
        <v>759</v>
      </c>
      <c r="C181" s="8" t="s">
        <v>760</v>
      </c>
      <c r="D181" s="8" t="s">
        <v>761</v>
      </c>
      <c r="E181" s="8" t="s">
        <v>52</v>
      </c>
      <c r="F181" s="8" t="s">
        <v>200</v>
      </c>
      <c r="G181" s="8" t="s">
        <v>82</v>
      </c>
      <c r="H181" s="8" t="s">
        <v>155</v>
      </c>
      <c r="I181" s="8" t="s">
        <v>46</v>
      </c>
      <c r="J181" s="8" t="s">
        <v>29</v>
      </c>
      <c r="K181" s="8" t="n">
        <v>1</v>
      </c>
      <c r="L181" s="8" t="n">
        <v>484.75</v>
      </c>
      <c r="M181" s="8" t="n">
        <v>0.1</v>
      </c>
      <c r="N181" s="8" t="n">
        <v>436.28</v>
      </c>
      <c r="O181" s="8" t="n">
        <v>71.1</v>
      </c>
    </row>
    <row r="182" customFormat="false" ht="15" hidden="false" customHeight="true" outlineLevel="0" collapsed="false">
      <c r="A182" s="8" t="s">
        <v>762</v>
      </c>
      <c r="B182" s="8" t="s">
        <v>763</v>
      </c>
      <c r="C182" s="8" t="s">
        <v>764</v>
      </c>
      <c r="D182" s="8" t="s">
        <v>765</v>
      </c>
      <c r="E182" s="8"/>
      <c r="F182" s="8" t="s">
        <v>154</v>
      </c>
      <c r="G182" s="8" t="s">
        <v>119</v>
      </c>
      <c r="H182" s="8" t="s">
        <v>191</v>
      </c>
      <c r="I182" s="8" t="s">
        <v>425</v>
      </c>
      <c r="J182" s="8" t="s">
        <v>64</v>
      </c>
      <c r="K182" s="8" t="n">
        <v>2</v>
      </c>
      <c r="L182" s="8" t="n">
        <v>11.8</v>
      </c>
      <c r="M182" s="8"/>
      <c r="N182" s="8" t="n">
        <v>23.6</v>
      </c>
      <c r="O182" s="8" t="n">
        <v>5.22</v>
      </c>
    </row>
    <row r="183" customFormat="false" ht="15" hidden="false" customHeight="true" outlineLevel="0" collapsed="false">
      <c r="A183" s="8" t="s">
        <v>192</v>
      </c>
      <c r="B183" s="8" t="s">
        <v>193</v>
      </c>
      <c r="C183" s="8" t="s">
        <v>194</v>
      </c>
      <c r="D183" s="8" t="s">
        <v>195</v>
      </c>
      <c r="E183" s="8" t="s">
        <v>52</v>
      </c>
      <c r="F183" s="8" t="s">
        <v>126</v>
      </c>
      <c r="G183" s="8" t="s">
        <v>26</v>
      </c>
      <c r="H183" s="8" t="s">
        <v>155</v>
      </c>
      <c r="I183" s="8" t="s">
        <v>138</v>
      </c>
      <c r="J183" s="8" t="s">
        <v>64</v>
      </c>
      <c r="K183" s="8" t="n">
        <v>5</v>
      </c>
      <c r="L183" s="8" t="n">
        <v>75.01</v>
      </c>
      <c r="M183" s="8" t="n">
        <v>0</v>
      </c>
      <c r="N183" s="8" t="n">
        <v>375.05</v>
      </c>
      <c r="O183" s="8" t="n">
        <v>109.17</v>
      </c>
    </row>
    <row r="184" customFormat="false" ht="15" hidden="false" customHeight="true" outlineLevel="0" collapsed="false">
      <c r="A184" s="8" t="s">
        <v>766</v>
      </c>
      <c r="B184" s="8" t="s">
        <v>767</v>
      </c>
      <c r="C184" s="8" t="s">
        <v>768</v>
      </c>
      <c r="D184" s="8" t="s">
        <v>769</v>
      </c>
      <c r="E184" s="8" t="s">
        <v>34</v>
      </c>
      <c r="F184" s="8" t="s">
        <v>53</v>
      </c>
      <c r="G184" s="8" t="s">
        <v>54</v>
      </c>
      <c r="H184" s="8" t="s">
        <v>45</v>
      </c>
      <c r="I184" s="8" t="s">
        <v>138</v>
      </c>
      <c r="J184" s="8" t="s">
        <v>39</v>
      </c>
      <c r="K184" s="8" t="n">
        <v>5</v>
      </c>
      <c r="L184" s="8" t="n">
        <v>976.38</v>
      </c>
      <c r="M184" s="8" t="n">
        <v>0</v>
      </c>
      <c r="N184" s="8" t="n">
        <v>4881.9</v>
      </c>
      <c r="O184" s="8" t="n">
        <v>1633.27</v>
      </c>
    </row>
    <row r="185" customFormat="false" ht="15" hidden="false" customHeight="true" outlineLevel="0" collapsed="false">
      <c r="A185" s="8" t="s">
        <v>116</v>
      </c>
      <c r="B185" s="8" t="s">
        <v>117</v>
      </c>
      <c r="C185" s="8" t="s">
        <v>118</v>
      </c>
      <c r="D185" s="8"/>
      <c r="E185" s="8"/>
      <c r="F185" s="8" t="s">
        <v>101</v>
      </c>
      <c r="G185" s="8" t="s">
        <v>119</v>
      </c>
      <c r="H185" s="8" t="s">
        <v>120</v>
      </c>
      <c r="I185" s="8" t="s">
        <v>121</v>
      </c>
      <c r="J185" s="8" t="s">
        <v>64</v>
      </c>
      <c r="K185" s="8" t="n">
        <v>1</v>
      </c>
      <c r="L185" s="8" t="n">
        <v>1088.78</v>
      </c>
      <c r="M185" s="8" t="n">
        <v>0.2</v>
      </c>
      <c r="N185" s="8" t="n">
        <v>871.02</v>
      </c>
      <c r="O185" s="8" t="n">
        <v>252.67</v>
      </c>
    </row>
    <row r="186" customFormat="false" ht="15" hidden="false" customHeight="true" outlineLevel="0" collapsed="false">
      <c r="A186" s="8" t="s">
        <v>770</v>
      </c>
      <c r="B186" s="8" t="s">
        <v>771</v>
      </c>
      <c r="C186" s="8" t="s">
        <v>772</v>
      </c>
      <c r="D186" s="8" t="s">
        <v>773</v>
      </c>
      <c r="E186" s="8" t="s">
        <v>34</v>
      </c>
      <c r="F186" s="8" t="s">
        <v>25</v>
      </c>
      <c r="G186" s="8" t="s">
        <v>82</v>
      </c>
      <c r="H186" s="8" t="s">
        <v>206</v>
      </c>
      <c r="I186" s="8" t="s">
        <v>84</v>
      </c>
      <c r="J186" s="8" t="s">
        <v>39</v>
      </c>
      <c r="K186" s="8"/>
      <c r="L186" s="8" t="n">
        <v>55.47</v>
      </c>
      <c r="M186" s="8"/>
      <c r="N186" s="8" t="n">
        <v>55.47</v>
      </c>
      <c r="O186" s="8" t="n">
        <v>1.01</v>
      </c>
    </row>
    <row r="187" customFormat="false" ht="15" hidden="false" customHeight="true" outlineLevel="0" collapsed="false">
      <c r="A187" s="8" t="s">
        <v>774</v>
      </c>
      <c r="B187" s="8" t="s">
        <v>775</v>
      </c>
      <c r="C187" s="8" t="s">
        <v>776</v>
      </c>
      <c r="D187" s="8" t="s">
        <v>777</v>
      </c>
      <c r="E187" s="8" t="s">
        <v>24</v>
      </c>
      <c r="F187" s="8" t="s">
        <v>94</v>
      </c>
      <c r="G187" s="8" t="s">
        <v>326</v>
      </c>
      <c r="H187" s="8" t="s">
        <v>132</v>
      </c>
      <c r="I187" s="8" t="s">
        <v>220</v>
      </c>
      <c r="J187" s="8" t="s">
        <v>39</v>
      </c>
      <c r="K187" s="8" t="n">
        <v>4</v>
      </c>
      <c r="L187" s="8" t="n">
        <v>38.52</v>
      </c>
      <c r="M187" s="8" t="n">
        <v>0.1</v>
      </c>
      <c r="N187" s="8" t="n">
        <v>138.67</v>
      </c>
      <c r="O187" s="8" t="n">
        <v>-1.28</v>
      </c>
    </row>
    <row r="188" customFormat="false" ht="15" hidden="false" customHeight="true" outlineLevel="0" collapsed="false">
      <c r="A188" s="8" t="s">
        <v>778</v>
      </c>
      <c r="B188" s="8" t="s">
        <v>779</v>
      </c>
      <c r="C188" s="8" t="s">
        <v>780</v>
      </c>
      <c r="D188" s="8" t="s">
        <v>781</v>
      </c>
      <c r="E188" s="8" t="s">
        <v>24</v>
      </c>
      <c r="F188" s="8" t="s">
        <v>173</v>
      </c>
      <c r="G188" s="8" t="s">
        <v>119</v>
      </c>
      <c r="H188" s="8" t="s">
        <v>148</v>
      </c>
      <c r="I188" s="8" t="s">
        <v>160</v>
      </c>
      <c r="J188" s="8" t="s">
        <v>64</v>
      </c>
      <c r="K188" s="8" t="n">
        <v>1</v>
      </c>
      <c r="L188" s="8" t="n">
        <v>546.83</v>
      </c>
      <c r="M188" s="8" t="n">
        <v>0.15</v>
      </c>
      <c r="N188" s="8" t="n">
        <v>464.81</v>
      </c>
      <c r="O188" s="8" t="n">
        <v>-25</v>
      </c>
    </row>
    <row r="189" customFormat="false" ht="15" hidden="false" customHeight="true" outlineLevel="0" collapsed="false">
      <c r="A189" s="8" t="s">
        <v>782</v>
      </c>
      <c r="B189" s="8" t="s">
        <v>783</v>
      </c>
      <c r="C189" s="8" t="s">
        <v>784</v>
      </c>
      <c r="D189" s="8" t="s">
        <v>785</v>
      </c>
      <c r="E189" s="8" t="s">
        <v>24</v>
      </c>
      <c r="F189" s="8" t="s">
        <v>372</v>
      </c>
      <c r="G189" s="8" t="s">
        <v>54</v>
      </c>
      <c r="H189" s="8" t="s">
        <v>27</v>
      </c>
      <c r="I189" s="8" t="s">
        <v>28</v>
      </c>
      <c r="J189" s="8" t="s">
        <v>39</v>
      </c>
      <c r="K189" s="8" t="n">
        <v>1</v>
      </c>
      <c r="L189" s="8" t="n">
        <v>786.01</v>
      </c>
      <c r="M189" s="8" t="n">
        <v>0</v>
      </c>
      <c r="N189" s="8" t="n">
        <v>786.01</v>
      </c>
      <c r="O189" s="8" t="n">
        <v>167.29</v>
      </c>
    </row>
    <row r="190" customFormat="false" ht="15" hidden="false" customHeight="true" outlineLevel="0" collapsed="false">
      <c r="A190" s="8" t="s">
        <v>786</v>
      </c>
      <c r="B190" s="8" t="s">
        <v>787</v>
      </c>
      <c r="C190" s="8" t="s">
        <v>788</v>
      </c>
      <c r="D190" s="8" t="s">
        <v>789</v>
      </c>
      <c r="E190" s="8" t="s">
        <v>24</v>
      </c>
      <c r="F190" s="8" t="s">
        <v>200</v>
      </c>
      <c r="G190" s="8" t="s">
        <v>26</v>
      </c>
      <c r="H190" s="8" t="s">
        <v>103</v>
      </c>
      <c r="I190" s="8" t="s">
        <v>56</v>
      </c>
      <c r="J190" s="8" t="s">
        <v>64</v>
      </c>
      <c r="K190" s="8" t="n">
        <v>2</v>
      </c>
      <c r="L190" s="8" t="n">
        <v>408.53</v>
      </c>
      <c r="M190" s="8" t="n">
        <v>0.05</v>
      </c>
      <c r="N190" s="8" t="n">
        <v>776.21</v>
      </c>
      <c r="O190" s="8" t="n">
        <v>120.57</v>
      </c>
    </row>
    <row r="191" customFormat="false" ht="15" hidden="false" customHeight="true" outlineLevel="0" collapsed="false">
      <c r="A191" s="8" t="s">
        <v>790</v>
      </c>
      <c r="B191" s="8" t="s">
        <v>791</v>
      </c>
      <c r="C191" s="8" t="s">
        <v>792</v>
      </c>
      <c r="D191" s="8" t="s">
        <v>793</v>
      </c>
      <c r="E191" s="8" t="s">
        <v>52</v>
      </c>
      <c r="F191" s="8" t="s">
        <v>229</v>
      </c>
      <c r="G191" s="8" t="s">
        <v>182</v>
      </c>
      <c r="H191" s="8" t="s">
        <v>83</v>
      </c>
      <c r="I191" s="8" t="s">
        <v>143</v>
      </c>
      <c r="J191" s="8" t="s">
        <v>29</v>
      </c>
      <c r="K191" s="8" t="n">
        <v>1</v>
      </c>
      <c r="L191" s="8" t="n">
        <v>1138.56</v>
      </c>
      <c r="M191" s="8" t="n">
        <v>0.1</v>
      </c>
      <c r="N191" s="8" t="n">
        <v>1024.7</v>
      </c>
      <c r="O191" s="8" t="n">
        <v>-73.12</v>
      </c>
    </row>
    <row r="192" customFormat="false" ht="15" hidden="false" customHeight="true" outlineLevel="0" collapsed="false">
      <c r="A192" s="8" t="s">
        <v>794</v>
      </c>
      <c r="B192" s="8" t="s">
        <v>795</v>
      </c>
      <c r="C192" s="8" t="s">
        <v>796</v>
      </c>
      <c r="D192" s="8" t="s">
        <v>797</v>
      </c>
      <c r="E192" s="8" t="s">
        <v>24</v>
      </c>
      <c r="F192" s="8" t="s">
        <v>154</v>
      </c>
      <c r="G192" s="8" t="s">
        <v>119</v>
      </c>
      <c r="H192" s="8" t="s">
        <v>55</v>
      </c>
      <c r="I192" s="8" t="s">
        <v>220</v>
      </c>
      <c r="J192" s="8" t="s">
        <v>47</v>
      </c>
      <c r="K192" s="8" t="n">
        <v>1</v>
      </c>
      <c r="L192" s="8" t="n">
        <v>299.35</v>
      </c>
      <c r="M192" s="8" t="n">
        <v>0.2</v>
      </c>
      <c r="N192" s="8" t="n">
        <v>239.48</v>
      </c>
      <c r="O192" s="8" t="n">
        <v>16.28</v>
      </c>
    </row>
    <row r="193" customFormat="false" ht="15" hidden="false" customHeight="true" outlineLevel="0" collapsed="false">
      <c r="A193" s="8" t="s">
        <v>798</v>
      </c>
      <c r="B193" s="8" t="s">
        <v>799</v>
      </c>
      <c r="C193" s="8" t="s">
        <v>800</v>
      </c>
      <c r="D193" s="8" t="s">
        <v>68</v>
      </c>
      <c r="E193" s="8" t="s">
        <v>34</v>
      </c>
      <c r="F193" s="8" t="s">
        <v>126</v>
      </c>
      <c r="G193" s="8" t="s">
        <v>89</v>
      </c>
      <c r="H193" s="8" t="s">
        <v>114</v>
      </c>
      <c r="I193" s="8" t="s">
        <v>109</v>
      </c>
      <c r="J193" s="8" t="s">
        <v>47</v>
      </c>
      <c r="K193" s="8" t="n">
        <v>4</v>
      </c>
      <c r="L193" s="8" t="n">
        <v>363.18</v>
      </c>
      <c r="M193" s="8"/>
      <c r="N193" s="8" t="n">
        <v>1452.72</v>
      </c>
      <c r="O193" s="8" t="n">
        <v>-139.96</v>
      </c>
    </row>
    <row r="194" customFormat="false" ht="15" hidden="false" customHeight="true" outlineLevel="0" collapsed="false">
      <c r="A194" s="8" t="s">
        <v>801</v>
      </c>
      <c r="B194" s="8" t="s">
        <v>802</v>
      </c>
      <c r="C194" s="8" t="s">
        <v>784</v>
      </c>
      <c r="D194" s="8" t="s">
        <v>653</v>
      </c>
      <c r="E194" s="8"/>
      <c r="F194" s="8" t="s">
        <v>69</v>
      </c>
      <c r="G194" s="8" t="s">
        <v>89</v>
      </c>
      <c r="H194" s="8" t="s">
        <v>37</v>
      </c>
      <c r="I194" s="8" t="s">
        <v>143</v>
      </c>
      <c r="J194" s="8" t="s">
        <v>64</v>
      </c>
      <c r="K194" s="8" t="n">
        <v>2</v>
      </c>
      <c r="L194" s="8" t="n">
        <v>346.9</v>
      </c>
      <c r="M194" s="8"/>
      <c r="N194" s="8" t="n">
        <v>693.8</v>
      </c>
      <c r="O194" s="8" t="n">
        <v>67.91</v>
      </c>
    </row>
    <row r="195" customFormat="false" ht="15" hidden="false" customHeight="true" outlineLevel="0" collapsed="false">
      <c r="A195" s="8" t="s">
        <v>803</v>
      </c>
      <c r="B195" s="8" t="s">
        <v>804</v>
      </c>
      <c r="C195" s="8" t="s">
        <v>805</v>
      </c>
      <c r="D195" s="8" t="s">
        <v>806</v>
      </c>
      <c r="E195" s="8" t="s">
        <v>34</v>
      </c>
      <c r="F195" s="8" t="s">
        <v>53</v>
      </c>
      <c r="G195" s="8" t="s">
        <v>215</v>
      </c>
      <c r="H195" s="8" t="s">
        <v>70</v>
      </c>
      <c r="I195" s="8" t="s">
        <v>71</v>
      </c>
      <c r="J195" s="8" t="s">
        <v>39</v>
      </c>
      <c r="K195" s="8" t="n">
        <v>1</v>
      </c>
      <c r="L195" s="8" t="n">
        <v>1189.57</v>
      </c>
      <c r="M195" s="8"/>
      <c r="N195" s="8" t="n">
        <v>1189.57</v>
      </c>
      <c r="O195" s="8" t="n">
        <v>146.17</v>
      </c>
    </row>
    <row r="196" customFormat="false" ht="15" hidden="false" customHeight="true" outlineLevel="0" collapsed="false">
      <c r="A196" s="8" t="s">
        <v>807</v>
      </c>
      <c r="B196" s="8" t="s">
        <v>808</v>
      </c>
      <c r="C196" s="8" t="s">
        <v>248</v>
      </c>
      <c r="D196" s="8" t="s">
        <v>809</v>
      </c>
      <c r="E196" s="8" t="s">
        <v>24</v>
      </c>
      <c r="F196" s="8" t="s">
        <v>53</v>
      </c>
      <c r="G196" s="8" t="s">
        <v>215</v>
      </c>
      <c r="H196" s="8" t="s">
        <v>103</v>
      </c>
      <c r="I196" s="8" t="s">
        <v>63</v>
      </c>
      <c r="J196" s="8" t="s">
        <v>47</v>
      </c>
      <c r="K196" s="8" t="n">
        <v>5</v>
      </c>
      <c r="L196" s="8" t="n">
        <v>115.6</v>
      </c>
      <c r="M196" s="8" t="n">
        <v>0.1</v>
      </c>
      <c r="N196" s="8" t="n">
        <v>520.2</v>
      </c>
      <c r="O196" s="8" t="n">
        <v>130.45</v>
      </c>
    </row>
    <row r="197" customFormat="false" ht="15" hidden="false" customHeight="true" outlineLevel="0" collapsed="false">
      <c r="A197" s="8" t="s">
        <v>810</v>
      </c>
      <c r="B197" s="8" t="s">
        <v>811</v>
      </c>
      <c r="C197" s="8" t="s">
        <v>812</v>
      </c>
      <c r="D197" s="8" t="s">
        <v>813</v>
      </c>
      <c r="E197" s="8" t="s">
        <v>52</v>
      </c>
      <c r="F197" s="8" t="s">
        <v>53</v>
      </c>
      <c r="G197" s="8" t="s">
        <v>326</v>
      </c>
      <c r="H197" s="8" t="s">
        <v>280</v>
      </c>
      <c r="I197" s="8" t="s">
        <v>115</v>
      </c>
      <c r="J197" s="8" t="s">
        <v>47</v>
      </c>
      <c r="K197" s="8" t="n">
        <v>1</v>
      </c>
      <c r="L197" s="8" t="n">
        <v>1027.1</v>
      </c>
      <c r="M197" s="8"/>
      <c r="N197" s="8" t="n">
        <v>1027.1</v>
      </c>
      <c r="O197" s="8" t="n">
        <v>330.21</v>
      </c>
    </row>
    <row r="198" customFormat="false" ht="15" hidden="false" customHeight="true" outlineLevel="0" collapsed="false">
      <c r="A198" s="8" t="s">
        <v>814</v>
      </c>
      <c r="B198" s="8" t="s">
        <v>815</v>
      </c>
      <c r="C198" s="8" t="s">
        <v>816</v>
      </c>
      <c r="D198" s="8" t="s">
        <v>817</v>
      </c>
      <c r="E198" s="8"/>
      <c r="F198" s="8" t="s">
        <v>101</v>
      </c>
      <c r="G198" s="8" t="s">
        <v>119</v>
      </c>
      <c r="H198" s="8" t="s">
        <v>45</v>
      </c>
      <c r="I198" s="8" t="s">
        <v>160</v>
      </c>
      <c r="J198" s="8" t="s">
        <v>29</v>
      </c>
      <c r="K198" s="8" t="n">
        <v>1</v>
      </c>
      <c r="L198" s="8" t="n">
        <v>834.89</v>
      </c>
      <c r="M198" s="8" t="n">
        <v>0.15</v>
      </c>
      <c r="N198" s="8" t="n">
        <v>709.66</v>
      </c>
      <c r="O198" s="8" t="n">
        <v>-32.37</v>
      </c>
    </row>
    <row r="199" customFormat="false" ht="15" hidden="false" customHeight="true" outlineLevel="0" collapsed="false">
      <c r="A199" s="8" t="s">
        <v>818</v>
      </c>
      <c r="B199" s="8" t="s">
        <v>819</v>
      </c>
      <c r="C199" s="8" t="s">
        <v>820</v>
      </c>
      <c r="D199" s="8" t="s">
        <v>821</v>
      </c>
      <c r="E199" s="8"/>
      <c r="F199" s="8" t="s">
        <v>35</v>
      </c>
      <c r="G199" s="8" t="s">
        <v>62</v>
      </c>
      <c r="H199" s="8" t="s">
        <v>191</v>
      </c>
      <c r="I199" s="8" t="s">
        <v>71</v>
      </c>
      <c r="J199" s="8" t="s">
        <v>47</v>
      </c>
      <c r="K199" s="8" t="n">
        <v>4</v>
      </c>
      <c r="L199" s="8" t="n">
        <v>1035.1</v>
      </c>
      <c r="M199" s="8" t="n">
        <v>0</v>
      </c>
      <c r="N199" s="8" t="n">
        <v>4140.4</v>
      </c>
      <c r="O199" s="8" t="n">
        <v>617.39</v>
      </c>
    </row>
    <row r="200" customFormat="false" ht="15" hidden="false" customHeight="true" outlineLevel="0" collapsed="false">
      <c r="A200" s="8" t="s">
        <v>822</v>
      </c>
      <c r="B200" s="8" t="s">
        <v>823</v>
      </c>
      <c r="C200" s="8" t="s">
        <v>824</v>
      </c>
      <c r="D200" s="8" t="s">
        <v>825</v>
      </c>
      <c r="E200" s="8"/>
      <c r="F200" s="8" t="s">
        <v>200</v>
      </c>
      <c r="G200" s="8" t="s">
        <v>26</v>
      </c>
      <c r="H200" s="8" t="s">
        <v>37</v>
      </c>
      <c r="I200" s="8" t="s">
        <v>404</v>
      </c>
      <c r="J200" s="8" t="s">
        <v>29</v>
      </c>
      <c r="K200" s="8" t="n">
        <v>1</v>
      </c>
      <c r="L200" s="8" t="n">
        <v>819.02</v>
      </c>
      <c r="M200" s="8" t="n">
        <v>0.05</v>
      </c>
      <c r="N200" s="8" t="n">
        <v>778.07</v>
      </c>
      <c r="O200" s="8" t="n">
        <v>149.97</v>
      </c>
    </row>
    <row r="201" customFormat="false" ht="15" hidden="false" customHeight="true" outlineLevel="0" collapsed="false">
      <c r="A201" s="8" t="s">
        <v>826</v>
      </c>
      <c r="B201" s="8" t="s">
        <v>827</v>
      </c>
      <c r="C201" s="8" t="s">
        <v>828</v>
      </c>
      <c r="D201" s="8" t="s">
        <v>829</v>
      </c>
      <c r="E201" s="8" t="s">
        <v>52</v>
      </c>
      <c r="F201" s="8" t="s">
        <v>69</v>
      </c>
      <c r="G201" s="8" t="s">
        <v>26</v>
      </c>
      <c r="H201" s="8" t="s">
        <v>206</v>
      </c>
      <c r="I201" s="8" t="s">
        <v>84</v>
      </c>
      <c r="J201" s="8" t="s">
        <v>64</v>
      </c>
      <c r="K201" s="8" t="n">
        <v>1</v>
      </c>
      <c r="L201" s="8" t="n">
        <v>1090.59</v>
      </c>
      <c r="M201" s="8" t="n">
        <v>0.1</v>
      </c>
      <c r="N201" s="8" t="n">
        <v>981.53</v>
      </c>
      <c r="O201" s="8" t="n">
        <v>37.92</v>
      </c>
    </row>
    <row r="202" customFormat="false" ht="15" hidden="false" customHeight="true" outlineLevel="0" collapsed="false">
      <c r="A202" s="8" t="s">
        <v>830</v>
      </c>
      <c r="B202" s="8" t="s">
        <v>831</v>
      </c>
      <c r="C202" s="8" t="s">
        <v>832</v>
      </c>
      <c r="D202" s="8" t="s">
        <v>367</v>
      </c>
      <c r="E202" s="8" t="s">
        <v>24</v>
      </c>
      <c r="F202" s="8" t="s">
        <v>61</v>
      </c>
      <c r="G202" s="8" t="s">
        <v>76</v>
      </c>
      <c r="H202" s="8" t="s">
        <v>155</v>
      </c>
      <c r="I202" s="8" t="s">
        <v>149</v>
      </c>
      <c r="J202" s="8" t="s">
        <v>64</v>
      </c>
      <c r="K202" s="8" t="n">
        <v>2</v>
      </c>
      <c r="L202" s="8" t="n">
        <v>186.28</v>
      </c>
      <c r="M202" s="8" t="n">
        <v>0.2</v>
      </c>
      <c r="N202" s="8" t="n">
        <v>298.05</v>
      </c>
      <c r="O202" s="8" t="n">
        <v>46.81</v>
      </c>
    </row>
    <row r="203" customFormat="false" ht="1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customFormat="false" ht="1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customFormat="false" ht="15" hidden="false" customHeight="true" outlineLevel="0" collapsed="false">
      <c r="A205" s="8" t="s">
        <v>833</v>
      </c>
      <c r="B205" s="8" t="s">
        <v>834</v>
      </c>
      <c r="C205" s="8" t="s">
        <v>92</v>
      </c>
      <c r="D205" s="8" t="s">
        <v>577</v>
      </c>
      <c r="E205" s="8" t="s">
        <v>34</v>
      </c>
      <c r="F205" s="8" t="s">
        <v>44</v>
      </c>
      <c r="G205" s="8" t="s">
        <v>36</v>
      </c>
      <c r="H205" s="8" t="s">
        <v>132</v>
      </c>
      <c r="I205" s="8" t="s">
        <v>220</v>
      </c>
      <c r="J205" s="8" t="s">
        <v>64</v>
      </c>
      <c r="K205" s="8" t="n">
        <v>1</v>
      </c>
      <c r="L205" s="8" t="n">
        <v>987.22</v>
      </c>
      <c r="M205" s="8" t="n">
        <v>0.2</v>
      </c>
      <c r="N205" s="8" t="n">
        <v>789.78</v>
      </c>
      <c r="O205" s="8" t="n">
        <v>-6.1</v>
      </c>
    </row>
    <row r="206" customFormat="false" ht="15" hidden="false" customHeight="true" outlineLevel="0" collapsed="false">
      <c r="A206" s="8" t="s">
        <v>835</v>
      </c>
      <c r="B206" s="8" t="s">
        <v>239</v>
      </c>
      <c r="C206" s="8" t="s">
        <v>836</v>
      </c>
      <c r="D206" s="8" t="s">
        <v>837</v>
      </c>
      <c r="E206" s="8" t="s">
        <v>24</v>
      </c>
      <c r="F206" s="8" t="s">
        <v>25</v>
      </c>
      <c r="G206" s="8" t="s">
        <v>82</v>
      </c>
      <c r="H206" s="8" t="s">
        <v>359</v>
      </c>
      <c r="I206" s="8" t="s">
        <v>56</v>
      </c>
      <c r="J206" s="8" t="s">
        <v>64</v>
      </c>
      <c r="K206" s="8" t="n">
        <v>4</v>
      </c>
      <c r="L206" s="8" t="n">
        <v>1044.29</v>
      </c>
      <c r="M206" s="8"/>
      <c r="N206" s="8" t="n">
        <v>4177.16</v>
      </c>
      <c r="O206" s="8" t="n">
        <v>464.8</v>
      </c>
    </row>
    <row r="207" customFormat="false" ht="15" hidden="false" customHeight="true" outlineLevel="0" collapsed="false">
      <c r="A207" s="8" t="s">
        <v>838</v>
      </c>
      <c r="B207" s="8" t="s">
        <v>839</v>
      </c>
      <c r="C207" s="8" t="s">
        <v>840</v>
      </c>
      <c r="D207" s="8" t="s">
        <v>841</v>
      </c>
      <c r="E207" s="8" t="s">
        <v>52</v>
      </c>
      <c r="F207" s="8" t="s">
        <v>35</v>
      </c>
      <c r="G207" s="8" t="s">
        <v>36</v>
      </c>
      <c r="H207" s="8" t="s">
        <v>95</v>
      </c>
      <c r="I207" s="8" t="s">
        <v>201</v>
      </c>
      <c r="J207" s="8" t="s">
        <v>29</v>
      </c>
      <c r="K207" s="8" t="n">
        <v>1</v>
      </c>
      <c r="L207" s="8" t="n">
        <v>315.01</v>
      </c>
      <c r="M207" s="8"/>
      <c r="N207" s="8" t="n">
        <v>315.01</v>
      </c>
      <c r="O207" s="8" t="n">
        <v>-9.4</v>
      </c>
    </row>
    <row r="208" customFormat="false" ht="15" hidden="false" customHeight="true" outlineLevel="0" collapsed="false">
      <c r="A208" s="8" t="s">
        <v>842</v>
      </c>
      <c r="B208" s="8" t="s">
        <v>843</v>
      </c>
      <c r="C208" s="8" t="s">
        <v>266</v>
      </c>
      <c r="D208" s="8"/>
      <c r="E208" s="8" t="s">
        <v>24</v>
      </c>
      <c r="F208" s="8" t="s">
        <v>94</v>
      </c>
      <c r="G208" s="8" t="s">
        <v>215</v>
      </c>
      <c r="H208" s="8" t="s">
        <v>27</v>
      </c>
      <c r="I208" s="8" t="s">
        <v>160</v>
      </c>
      <c r="J208" s="8" t="s">
        <v>47</v>
      </c>
      <c r="K208" s="8" t="n">
        <v>3</v>
      </c>
      <c r="L208" s="8" t="n">
        <v>1125.24</v>
      </c>
      <c r="M208" s="8" t="n">
        <v>0.05</v>
      </c>
      <c r="N208" s="8" t="n">
        <v>3206.93</v>
      </c>
      <c r="O208" s="8" t="n">
        <v>-44.35</v>
      </c>
    </row>
    <row r="209" customFormat="false" ht="15" hidden="false" customHeight="true" outlineLevel="0" collapsed="false">
      <c r="A209" s="8" t="s">
        <v>844</v>
      </c>
      <c r="B209" s="8" t="s">
        <v>845</v>
      </c>
      <c r="C209" s="8" t="s">
        <v>846</v>
      </c>
      <c r="D209" s="8"/>
      <c r="E209" s="8" t="s">
        <v>52</v>
      </c>
      <c r="F209" s="8" t="s">
        <v>35</v>
      </c>
      <c r="G209" s="8" t="s">
        <v>62</v>
      </c>
      <c r="H209" s="8" t="s">
        <v>359</v>
      </c>
      <c r="I209" s="8" t="s">
        <v>133</v>
      </c>
      <c r="J209" s="8" t="s">
        <v>64</v>
      </c>
      <c r="K209" s="8"/>
      <c r="L209" s="8" t="n">
        <v>280.54</v>
      </c>
      <c r="M209" s="8" t="n">
        <v>0.2</v>
      </c>
      <c r="N209" s="8" t="n">
        <v>224.43</v>
      </c>
      <c r="O209" s="8" t="n">
        <v>16.99</v>
      </c>
    </row>
    <row r="210" customFormat="false" ht="15" hidden="false" customHeight="true" outlineLevel="0" collapsed="false">
      <c r="A210" s="8" t="s">
        <v>847</v>
      </c>
      <c r="B210" s="8" t="s">
        <v>848</v>
      </c>
      <c r="C210" s="8" t="s">
        <v>849</v>
      </c>
      <c r="D210" s="8" t="s">
        <v>850</v>
      </c>
      <c r="E210" s="8" t="s">
        <v>34</v>
      </c>
      <c r="F210" s="8" t="s">
        <v>35</v>
      </c>
      <c r="G210" s="8" t="s">
        <v>76</v>
      </c>
      <c r="H210" s="8" t="s">
        <v>114</v>
      </c>
      <c r="I210" s="8" t="s">
        <v>96</v>
      </c>
      <c r="J210" s="8" t="s">
        <v>39</v>
      </c>
      <c r="K210" s="8" t="n">
        <v>1</v>
      </c>
      <c r="L210" s="8" t="n">
        <v>898.83</v>
      </c>
      <c r="M210" s="8" t="n">
        <v>0</v>
      </c>
      <c r="N210" s="8" t="n">
        <v>898.83</v>
      </c>
      <c r="O210" s="8" t="n">
        <v>-62.17</v>
      </c>
    </row>
    <row r="211" customFormat="false" ht="15" hidden="false" customHeight="true" outlineLevel="0" collapsed="false">
      <c r="A211" s="8" t="s">
        <v>851</v>
      </c>
      <c r="B211" s="8" t="s">
        <v>852</v>
      </c>
      <c r="C211" s="8"/>
      <c r="D211" s="8" t="s">
        <v>853</v>
      </c>
      <c r="E211" s="8" t="s">
        <v>24</v>
      </c>
      <c r="F211" s="8" t="s">
        <v>372</v>
      </c>
      <c r="G211" s="8" t="s">
        <v>215</v>
      </c>
      <c r="H211" s="8" t="s">
        <v>103</v>
      </c>
      <c r="I211" s="8" t="s">
        <v>220</v>
      </c>
      <c r="J211" s="8" t="s">
        <v>47</v>
      </c>
      <c r="K211" s="8" t="n">
        <v>2</v>
      </c>
      <c r="L211" s="8" t="n">
        <v>1002.78</v>
      </c>
      <c r="M211" s="8" t="n">
        <v>0.2</v>
      </c>
      <c r="N211" s="8" t="n">
        <v>1604.45</v>
      </c>
      <c r="O211" s="8" t="n">
        <v>300.88</v>
      </c>
    </row>
    <row r="212" customFormat="false" ht="15" hidden="false" customHeight="true" outlineLevel="0" collapsed="false">
      <c r="A212" s="8" t="s">
        <v>854</v>
      </c>
      <c r="B212" s="8" t="s">
        <v>855</v>
      </c>
      <c r="C212" s="8" t="s">
        <v>856</v>
      </c>
      <c r="D212" s="8" t="s">
        <v>857</v>
      </c>
      <c r="E212" s="8" t="s">
        <v>24</v>
      </c>
      <c r="F212" s="8" t="s">
        <v>25</v>
      </c>
      <c r="G212" s="8" t="s">
        <v>26</v>
      </c>
      <c r="H212" s="8" t="s">
        <v>132</v>
      </c>
      <c r="I212" s="8" t="s">
        <v>241</v>
      </c>
      <c r="J212" s="8" t="s">
        <v>64</v>
      </c>
      <c r="K212" s="8" t="n">
        <v>2</v>
      </c>
      <c r="L212" s="8" t="n">
        <v>1109.07</v>
      </c>
      <c r="M212" s="8"/>
      <c r="N212" s="8" t="n">
        <v>2218.14</v>
      </c>
      <c r="O212" s="8" t="n">
        <v>603.3</v>
      </c>
    </row>
    <row r="213" customFormat="false" ht="15" hidden="false" customHeight="true" outlineLevel="0" collapsed="false">
      <c r="A213" s="8" t="s">
        <v>858</v>
      </c>
      <c r="B213" s="8" t="s">
        <v>859</v>
      </c>
      <c r="C213" s="8" t="s">
        <v>860</v>
      </c>
      <c r="D213" s="8" t="s">
        <v>569</v>
      </c>
      <c r="E213" s="8" t="s">
        <v>52</v>
      </c>
      <c r="F213" s="8" t="s">
        <v>35</v>
      </c>
      <c r="G213" s="8" t="s">
        <v>76</v>
      </c>
      <c r="H213" s="8" t="s">
        <v>191</v>
      </c>
      <c r="I213" s="8" t="s">
        <v>71</v>
      </c>
      <c r="J213" s="8" t="s">
        <v>39</v>
      </c>
      <c r="K213" s="8" t="n">
        <v>5</v>
      </c>
      <c r="L213" s="8" t="n">
        <v>18.17</v>
      </c>
      <c r="M213" s="8" t="n">
        <v>0.1</v>
      </c>
      <c r="N213" s="8" t="n">
        <v>81.77</v>
      </c>
      <c r="O213" s="8" t="n">
        <v>9.04</v>
      </c>
    </row>
    <row r="214" customFormat="false" ht="15" hidden="false" customHeight="true" outlineLevel="0" collapsed="false">
      <c r="A214" s="8" t="s">
        <v>861</v>
      </c>
      <c r="B214" s="8" t="s">
        <v>862</v>
      </c>
      <c r="C214" s="8" t="s">
        <v>863</v>
      </c>
      <c r="D214" s="8" t="s">
        <v>864</v>
      </c>
      <c r="E214" s="8"/>
      <c r="F214" s="8" t="s">
        <v>61</v>
      </c>
      <c r="G214" s="8" t="s">
        <v>36</v>
      </c>
      <c r="H214" s="8" t="s">
        <v>148</v>
      </c>
      <c r="I214" s="8" t="s">
        <v>138</v>
      </c>
      <c r="J214" s="8" t="s">
        <v>29</v>
      </c>
      <c r="K214" s="8" t="n">
        <v>5</v>
      </c>
      <c r="L214" s="8" t="n">
        <v>184.51</v>
      </c>
      <c r="M214" s="8"/>
      <c r="N214" s="8" t="n">
        <v>922.55</v>
      </c>
      <c r="O214" s="8" t="n">
        <v>60.98</v>
      </c>
    </row>
    <row r="215" customFormat="false" ht="15" hidden="false" customHeight="true" outlineLevel="0" collapsed="false">
      <c r="A215" s="8" t="s">
        <v>865</v>
      </c>
      <c r="B215" s="8" t="s">
        <v>866</v>
      </c>
      <c r="C215" s="8" t="s">
        <v>867</v>
      </c>
      <c r="D215" s="8" t="s">
        <v>868</v>
      </c>
      <c r="E215" s="8" t="s">
        <v>24</v>
      </c>
      <c r="F215" s="8" t="s">
        <v>44</v>
      </c>
      <c r="G215" s="8" t="s">
        <v>36</v>
      </c>
      <c r="H215" s="8" t="s">
        <v>206</v>
      </c>
      <c r="I215" s="8" t="s">
        <v>84</v>
      </c>
      <c r="J215" s="8" t="s">
        <v>39</v>
      </c>
      <c r="K215" s="8" t="n">
        <v>5</v>
      </c>
      <c r="L215" s="8" t="n">
        <v>630.13</v>
      </c>
      <c r="M215" s="8"/>
      <c r="N215" s="8" t="n">
        <v>3150.65</v>
      </c>
      <c r="O215" s="8" t="n">
        <v>597.85</v>
      </c>
    </row>
    <row r="216" customFormat="false" ht="15" hidden="false" customHeight="true" outlineLevel="0" collapsed="false">
      <c r="A216" s="8" t="s">
        <v>869</v>
      </c>
      <c r="B216" s="8" t="s">
        <v>870</v>
      </c>
      <c r="C216" s="8" t="s">
        <v>871</v>
      </c>
      <c r="D216" s="8" t="s">
        <v>872</v>
      </c>
      <c r="E216" s="8" t="s">
        <v>34</v>
      </c>
      <c r="F216" s="8" t="s">
        <v>147</v>
      </c>
      <c r="G216" s="8" t="s">
        <v>54</v>
      </c>
      <c r="H216" s="8" t="s">
        <v>142</v>
      </c>
      <c r="I216" s="8" t="s">
        <v>527</v>
      </c>
      <c r="J216" s="8" t="s">
        <v>47</v>
      </c>
      <c r="K216" s="8" t="n">
        <v>5</v>
      </c>
      <c r="L216" s="8" t="n">
        <v>909.91</v>
      </c>
      <c r="M216" s="8" t="n">
        <v>0.2</v>
      </c>
      <c r="N216" s="8" t="n">
        <v>3639.64</v>
      </c>
      <c r="O216" s="8" t="n">
        <v>1148.43</v>
      </c>
    </row>
    <row r="217" customFormat="false" ht="15" hidden="false" customHeight="true" outlineLevel="0" collapsed="false">
      <c r="A217" s="8" t="s">
        <v>873</v>
      </c>
      <c r="B217" s="8" t="s">
        <v>874</v>
      </c>
      <c r="C217" s="8" t="s">
        <v>875</v>
      </c>
      <c r="D217" s="8" t="s">
        <v>876</v>
      </c>
      <c r="E217" s="8" t="s">
        <v>24</v>
      </c>
      <c r="F217" s="8" t="s">
        <v>173</v>
      </c>
      <c r="G217" s="8" t="s">
        <v>119</v>
      </c>
      <c r="H217" s="8" t="s">
        <v>142</v>
      </c>
      <c r="I217" s="8" t="s">
        <v>143</v>
      </c>
      <c r="J217" s="8" t="s">
        <v>47</v>
      </c>
      <c r="K217" s="8" t="n">
        <v>1</v>
      </c>
      <c r="L217" s="8" t="n">
        <v>1115.02</v>
      </c>
      <c r="M217" s="8" t="n">
        <v>0.2</v>
      </c>
      <c r="N217" s="8" t="n">
        <v>892.02</v>
      </c>
      <c r="O217" s="8" t="n">
        <v>190.66</v>
      </c>
    </row>
    <row r="218" customFormat="false" ht="15" hidden="false" customHeight="true" outlineLevel="0" collapsed="false">
      <c r="A218" s="8" t="s">
        <v>877</v>
      </c>
      <c r="B218" s="8" t="s">
        <v>223</v>
      </c>
      <c r="C218" s="8" t="s">
        <v>878</v>
      </c>
      <c r="D218" s="8" t="s">
        <v>879</v>
      </c>
      <c r="E218" s="8" t="s">
        <v>52</v>
      </c>
      <c r="F218" s="8" t="s">
        <v>126</v>
      </c>
      <c r="G218" s="8" t="s">
        <v>26</v>
      </c>
      <c r="H218" s="8" t="s">
        <v>95</v>
      </c>
      <c r="I218" s="8" t="s">
        <v>109</v>
      </c>
      <c r="J218" s="8" t="s">
        <v>39</v>
      </c>
      <c r="K218" s="8" t="n">
        <v>5</v>
      </c>
      <c r="L218" s="8" t="n">
        <v>59.08</v>
      </c>
      <c r="M218" s="8" t="n">
        <v>0.15</v>
      </c>
      <c r="N218" s="8" t="n">
        <v>251.09</v>
      </c>
      <c r="O218" s="8" t="n">
        <v>84.12</v>
      </c>
    </row>
    <row r="219" customFormat="false" ht="15" hidden="false" customHeight="true" outlineLevel="0" collapsed="false">
      <c r="A219" s="8" t="s">
        <v>880</v>
      </c>
      <c r="B219" s="8" t="s">
        <v>881</v>
      </c>
      <c r="C219" s="8" t="s">
        <v>882</v>
      </c>
      <c r="D219" s="8" t="s">
        <v>883</v>
      </c>
      <c r="E219" s="8"/>
      <c r="F219" s="8" t="s">
        <v>94</v>
      </c>
      <c r="G219" s="8" t="s">
        <v>54</v>
      </c>
      <c r="H219" s="8" t="s">
        <v>27</v>
      </c>
      <c r="I219" s="8" t="s">
        <v>28</v>
      </c>
      <c r="J219" s="8" t="s">
        <v>64</v>
      </c>
      <c r="K219" s="8" t="n">
        <v>4</v>
      </c>
      <c r="L219" s="8" t="n">
        <v>1121.04</v>
      </c>
      <c r="M219" s="8" t="n">
        <v>0.05</v>
      </c>
      <c r="N219" s="8" t="n">
        <v>4259.95</v>
      </c>
      <c r="O219" s="8" t="n">
        <v>-394</v>
      </c>
    </row>
    <row r="220" customFormat="false" ht="15" hidden="false" customHeight="true" outlineLevel="0" collapsed="false">
      <c r="A220" s="8" t="s">
        <v>884</v>
      </c>
      <c r="B220" s="8" t="s">
        <v>885</v>
      </c>
      <c r="C220" s="8" t="s">
        <v>886</v>
      </c>
      <c r="D220" s="8" t="s">
        <v>887</v>
      </c>
      <c r="E220" s="8" t="s">
        <v>34</v>
      </c>
      <c r="F220" s="8" t="s">
        <v>44</v>
      </c>
      <c r="G220" s="8" t="s">
        <v>76</v>
      </c>
      <c r="H220" s="8" t="s">
        <v>280</v>
      </c>
      <c r="I220" s="8" t="s">
        <v>201</v>
      </c>
      <c r="J220" s="8" t="s">
        <v>64</v>
      </c>
      <c r="K220" s="8" t="n">
        <v>3</v>
      </c>
      <c r="L220" s="8" t="n">
        <v>436.32</v>
      </c>
      <c r="M220" s="8" t="n">
        <v>0</v>
      </c>
      <c r="N220" s="8" t="n">
        <v>1308.96</v>
      </c>
      <c r="O220" s="8" t="n">
        <v>357.76</v>
      </c>
    </row>
    <row r="221" customFormat="false" ht="15" hidden="false" customHeight="true" outlineLevel="0" collapsed="false">
      <c r="A221" s="8" t="s">
        <v>888</v>
      </c>
      <c r="B221" s="8" t="s">
        <v>889</v>
      </c>
      <c r="C221" s="8" t="s">
        <v>324</v>
      </c>
      <c r="D221" s="8" t="s">
        <v>890</v>
      </c>
      <c r="E221" s="8"/>
      <c r="F221" s="8" t="s">
        <v>229</v>
      </c>
      <c r="G221" s="8" t="s">
        <v>102</v>
      </c>
      <c r="H221" s="8" t="s">
        <v>206</v>
      </c>
      <c r="I221" s="8" t="s">
        <v>527</v>
      </c>
      <c r="J221" s="8" t="s">
        <v>39</v>
      </c>
      <c r="K221" s="8" t="n">
        <v>3</v>
      </c>
      <c r="L221" s="8" t="n">
        <v>397.71</v>
      </c>
      <c r="M221" s="8" t="n">
        <v>0.15</v>
      </c>
      <c r="N221" s="8" t="n">
        <v>1014.16</v>
      </c>
      <c r="O221" s="8" t="n">
        <v>200.34</v>
      </c>
    </row>
    <row r="222" customFormat="false" ht="15" hidden="false" customHeight="true" outlineLevel="0" collapsed="false">
      <c r="A222" s="8" t="s">
        <v>891</v>
      </c>
      <c r="B222" s="8" t="s">
        <v>892</v>
      </c>
      <c r="C222" s="8" t="s">
        <v>893</v>
      </c>
      <c r="D222" s="8" t="s">
        <v>894</v>
      </c>
      <c r="E222" s="8" t="s">
        <v>24</v>
      </c>
      <c r="F222" s="8" t="s">
        <v>53</v>
      </c>
      <c r="G222" s="8" t="s">
        <v>54</v>
      </c>
      <c r="H222" s="8" t="s">
        <v>95</v>
      </c>
      <c r="I222" s="8" t="s">
        <v>297</v>
      </c>
      <c r="J222" s="8" t="s">
        <v>47</v>
      </c>
      <c r="K222" s="8" t="n">
        <v>1</v>
      </c>
      <c r="L222" s="8" t="n">
        <v>365.11</v>
      </c>
      <c r="M222" s="8"/>
      <c r="N222" s="8" t="n">
        <v>365.11</v>
      </c>
      <c r="O222" s="8" t="n">
        <v>-1.74</v>
      </c>
    </row>
    <row r="223" customFormat="false" ht="15" hidden="false" customHeight="true" outlineLevel="0" collapsed="false">
      <c r="A223" s="8" t="s">
        <v>895</v>
      </c>
      <c r="B223" s="8" t="s">
        <v>896</v>
      </c>
      <c r="C223" s="8" t="s">
        <v>897</v>
      </c>
      <c r="D223" s="8" t="s">
        <v>898</v>
      </c>
      <c r="E223" s="8" t="s">
        <v>52</v>
      </c>
      <c r="F223" s="8" t="s">
        <v>69</v>
      </c>
      <c r="G223" s="8" t="s">
        <v>89</v>
      </c>
      <c r="H223" s="8" t="s">
        <v>95</v>
      </c>
      <c r="I223" s="8" t="s">
        <v>115</v>
      </c>
      <c r="J223" s="8" t="s">
        <v>64</v>
      </c>
      <c r="K223" s="8" t="n">
        <v>4</v>
      </c>
      <c r="L223" s="8" t="n">
        <v>546.67</v>
      </c>
      <c r="M223" s="8" t="n">
        <v>0</v>
      </c>
      <c r="N223" s="8" t="n">
        <v>2186.68</v>
      </c>
      <c r="O223" s="8" t="n">
        <v>346.82</v>
      </c>
    </row>
    <row r="224" customFormat="false" ht="15" hidden="false" customHeight="true" outlineLevel="0" collapsed="false">
      <c r="A224" s="8" t="s">
        <v>899</v>
      </c>
      <c r="B224" s="8" t="s">
        <v>900</v>
      </c>
      <c r="C224" s="8" t="s">
        <v>901</v>
      </c>
      <c r="D224" s="8" t="s">
        <v>902</v>
      </c>
      <c r="E224" s="8"/>
      <c r="F224" s="8" t="s">
        <v>126</v>
      </c>
      <c r="G224" s="8" t="s">
        <v>82</v>
      </c>
      <c r="H224" s="8" t="s">
        <v>103</v>
      </c>
      <c r="I224" s="8" t="s">
        <v>133</v>
      </c>
      <c r="J224" s="8" t="s">
        <v>29</v>
      </c>
      <c r="K224" s="8" t="n">
        <v>2</v>
      </c>
      <c r="L224" s="8" t="n">
        <v>975.33</v>
      </c>
      <c r="M224" s="8" t="n">
        <v>0.1</v>
      </c>
      <c r="N224" s="8" t="n">
        <v>1755.59</v>
      </c>
      <c r="O224" s="8" t="n">
        <v>34.35</v>
      </c>
    </row>
    <row r="225" customFormat="false" ht="15" hidden="false" customHeight="true" outlineLevel="0" collapsed="false">
      <c r="A225" s="8" t="s">
        <v>903</v>
      </c>
      <c r="B225" s="8" t="s">
        <v>904</v>
      </c>
      <c r="C225" s="8"/>
      <c r="D225" s="8"/>
      <c r="E225" s="8" t="s">
        <v>34</v>
      </c>
      <c r="F225" s="8" t="s">
        <v>69</v>
      </c>
      <c r="G225" s="8" t="s">
        <v>26</v>
      </c>
      <c r="H225" s="8" t="s">
        <v>70</v>
      </c>
      <c r="I225" s="8" t="s">
        <v>78</v>
      </c>
      <c r="J225" s="8" t="s">
        <v>64</v>
      </c>
      <c r="K225" s="8" t="n">
        <v>3</v>
      </c>
      <c r="L225" s="8" t="n">
        <v>653.21</v>
      </c>
      <c r="M225" s="8"/>
      <c r="N225" s="8" t="n">
        <v>1959.63</v>
      </c>
      <c r="O225" s="8" t="n">
        <v>580.16</v>
      </c>
    </row>
    <row r="226" customFormat="false" ht="15" hidden="false" customHeight="true" outlineLevel="0" collapsed="false">
      <c r="A226" s="8" t="s">
        <v>905</v>
      </c>
      <c r="B226" s="8" t="s">
        <v>906</v>
      </c>
      <c r="C226" s="8" t="s">
        <v>474</v>
      </c>
      <c r="D226" s="8" t="s">
        <v>907</v>
      </c>
      <c r="E226" s="8" t="s">
        <v>24</v>
      </c>
      <c r="F226" s="8" t="s">
        <v>25</v>
      </c>
      <c r="G226" s="8" t="s">
        <v>82</v>
      </c>
      <c r="H226" s="8" t="s">
        <v>45</v>
      </c>
      <c r="I226" s="8" t="s">
        <v>138</v>
      </c>
      <c r="J226" s="8" t="s">
        <v>29</v>
      </c>
      <c r="K226" s="8" t="n">
        <v>2</v>
      </c>
      <c r="L226" s="8" t="n">
        <v>1002.61</v>
      </c>
      <c r="M226" s="8"/>
      <c r="N226" s="8" t="n">
        <v>2005.22</v>
      </c>
      <c r="O226" s="8" t="n">
        <v>215.12</v>
      </c>
    </row>
    <row r="227" customFormat="false" ht="15" hidden="false" customHeight="true" outlineLevel="0" collapsed="false">
      <c r="A227" s="8" t="s">
        <v>908</v>
      </c>
      <c r="B227" s="8" t="s">
        <v>909</v>
      </c>
      <c r="C227" s="8" t="s">
        <v>910</v>
      </c>
      <c r="D227" s="8" t="s">
        <v>911</v>
      </c>
      <c r="E227" s="8" t="s">
        <v>24</v>
      </c>
      <c r="F227" s="8" t="s">
        <v>44</v>
      </c>
      <c r="G227" s="8" t="s">
        <v>62</v>
      </c>
      <c r="H227" s="8" t="s">
        <v>359</v>
      </c>
      <c r="I227" s="8" t="s">
        <v>104</v>
      </c>
      <c r="J227" s="8" t="s">
        <v>39</v>
      </c>
      <c r="K227" s="8" t="n">
        <v>1</v>
      </c>
      <c r="L227" s="8" t="n">
        <v>660.04</v>
      </c>
      <c r="M227" s="8" t="n">
        <v>0.1</v>
      </c>
      <c r="N227" s="8" t="n">
        <v>594.04</v>
      </c>
      <c r="O227" s="8" t="n">
        <v>46.27</v>
      </c>
    </row>
    <row r="228" customFormat="false" ht="15" hidden="false" customHeight="true" outlineLevel="0" collapsed="false">
      <c r="A228" s="8" t="s">
        <v>912</v>
      </c>
      <c r="B228" s="8" t="s">
        <v>913</v>
      </c>
      <c r="C228" s="8" t="s">
        <v>914</v>
      </c>
      <c r="D228" s="8" t="s">
        <v>915</v>
      </c>
      <c r="E228" s="8" t="s">
        <v>24</v>
      </c>
      <c r="F228" s="8" t="s">
        <v>44</v>
      </c>
      <c r="G228" s="8" t="s">
        <v>76</v>
      </c>
      <c r="H228" s="8" t="s">
        <v>245</v>
      </c>
      <c r="I228" s="8" t="s">
        <v>96</v>
      </c>
      <c r="J228" s="8" t="s">
        <v>64</v>
      </c>
      <c r="K228" s="8" t="n">
        <v>4</v>
      </c>
      <c r="L228" s="8" t="n">
        <v>657.49</v>
      </c>
      <c r="M228" s="8"/>
      <c r="N228" s="8" t="n">
        <v>2629.96</v>
      </c>
      <c r="O228" s="8" t="n">
        <v>-188.32</v>
      </c>
    </row>
    <row r="229" customFormat="false" ht="15" hidden="false" customHeight="true" outlineLevel="0" collapsed="false">
      <c r="A229" s="8" t="s">
        <v>916</v>
      </c>
      <c r="B229" s="8" t="s">
        <v>917</v>
      </c>
      <c r="C229" s="8" t="s">
        <v>918</v>
      </c>
      <c r="D229" s="8" t="s">
        <v>919</v>
      </c>
      <c r="E229" s="8" t="s">
        <v>34</v>
      </c>
      <c r="F229" s="8" t="s">
        <v>35</v>
      </c>
      <c r="G229" s="8" t="s">
        <v>76</v>
      </c>
      <c r="H229" s="8" t="s">
        <v>45</v>
      </c>
      <c r="I229" s="8" t="s">
        <v>160</v>
      </c>
      <c r="J229" s="8" t="s">
        <v>64</v>
      </c>
      <c r="K229" s="8" t="n">
        <v>4</v>
      </c>
      <c r="L229" s="8" t="n">
        <v>1128.23</v>
      </c>
      <c r="M229" s="8" t="n">
        <v>0.15</v>
      </c>
      <c r="N229" s="8" t="n">
        <v>3835.98</v>
      </c>
      <c r="O229" s="8" t="n">
        <v>592.39</v>
      </c>
    </row>
    <row r="230" customFormat="false" ht="15" hidden="false" customHeight="true" outlineLevel="0" collapsed="false">
      <c r="A230" s="8" t="s">
        <v>920</v>
      </c>
      <c r="B230" s="8" t="s">
        <v>921</v>
      </c>
      <c r="C230" s="8" t="s">
        <v>922</v>
      </c>
      <c r="D230" s="8" t="s">
        <v>923</v>
      </c>
      <c r="E230" s="8" t="s">
        <v>52</v>
      </c>
      <c r="F230" s="8" t="s">
        <v>154</v>
      </c>
      <c r="G230" s="8" t="s">
        <v>102</v>
      </c>
      <c r="H230" s="8" t="s">
        <v>83</v>
      </c>
      <c r="I230" s="8" t="s">
        <v>84</v>
      </c>
      <c r="J230" s="8" t="s">
        <v>29</v>
      </c>
      <c r="K230" s="8" t="n">
        <v>1</v>
      </c>
      <c r="L230" s="8" t="n">
        <v>922.03</v>
      </c>
      <c r="M230" s="8" t="n">
        <v>0.05</v>
      </c>
      <c r="N230" s="8" t="n">
        <v>875.93</v>
      </c>
      <c r="O230" s="8" t="n">
        <v>103.95</v>
      </c>
    </row>
    <row r="231" customFormat="false" ht="15" hidden="false" customHeight="true" outlineLevel="0" collapsed="false">
      <c r="A231" s="8" t="s">
        <v>924</v>
      </c>
      <c r="B231" s="8" t="s">
        <v>925</v>
      </c>
      <c r="C231" s="8" t="s">
        <v>926</v>
      </c>
      <c r="D231" s="8" t="s">
        <v>927</v>
      </c>
      <c r="E231" s="8"/>
      <c r="F231" s="8" t="s">
        <v>229</v>
      </c>
      <c r="G231" s="8" t="s">
        <v>182</v>
      </c>
      <c r="H231" s="8" t="s">
        <v>45</v>
      </c>
      <c r="I231" s="8" t="s">
        <v>149</v>
      </c>
      <c r="J231" s="8" t="s">
        <v>29</v>
      </c>
      <c r="K231" s="8" t="n">
        <v>1</v>
      </c>
      <c r="L231" s="8" t="n">
        <v>269.12</v>
      </c>
      <c r="M231" s="8" t="n">
        <v>0.1</v>
      </c>
      <c r="N231" s="8" t="n">
        <v>242.21</v>
      </c>
      <c r="O231" s="8" t="n">
        <v>7.92</v>
      </c>
    </row>
    <row r="232" customFormat="false" ht="15" hidden="false" customHeight="true" outlineLevel="0" collapsed="false">
      <c r="A232" s="8" t="s">
        <v>928</v>
      </c>
      <c r="B232" s="8" t="s">
        <v>929</v>
      </c>
      <c r="C232" s="8" t="s">
        <v>930</v>
      </c>
      <c r="D232" s="8" t="s">
        <v>931</v>
      </c>
      <c r="E232" s="8"/>
      <c r="F232" s="8" t="s">
        <v>200</v>
      </c>
      <c r="G232" s="8" t="s">
        <v>82</v>
      </c>
      <c r="H232" s="8" t="s">
        <v>45</v>
      </c>
      <c r="I232" s="8" t="s">
        <v>138</v>
      </c>
      <c r="J232" s="8" t="s">
        <v>39</v>
      </c>
      <c r="K232" s="8" t="n">
        <v>5</v>
      </c>
      <c r="L232" s="8" t="n">
        <v>518.98</v>
      </c>
      <c r="M232" s="8" t="n">
        <v>0.05</v>
      </c>
      <c r="N232" s="8" t="n">
        <v>2465.15</v>
      </c>
      <c r="O232" s="8" t="n">
        <v>-134.85</v>
      </c>
    </row>
    <row r="233" customFormat="false" ht="15" hidden="false" customHeight="true" outlineLevel="0" collapsed="false">
      <c r="A233" s="8" t="s">
        <v>932</v>
      </c>
      <c r="B233" s="8" t="s">
        <v>933</v>
      </c>
      <c r="C233" s="8" t="s">
        <v>934</v>
      </c>
      <c r="D233" s="8" t="s">
        <v>935</v>
      </c>
      <c r="E233" s="8" t="s">
        <v>24</v>
      </c>
      <c r="F233" s="8" t="s">
        <v>372</v>
      </c>
      <c r="G233" s="8" t="s">
        <v>326</v>
      </c>
      <c r="H233" s="8" t="s">
        <v>245</v>
      </c>
      <c r="I233" s="8" t="s">
        <v>201</v>
      </c>
      <c r="J233" s="8" t="s">
        <v>64</v>
      </c>
      <c r="K233" s="8" t="n">
        <v>1</v>
      </c>
      <c r="L233" s="8" t="n">
        <v>508.08</v>
      </c>
      <c r="M233" s="8"/>
      <c r="N233" s="8" t="n">
        <v>508.08</v>
      </c>
      <c r="O233" s="8" t="n">
        <v>121.09</v>
      </c>
    </row>
    <row r="234" customFormat="false" ht="15" hidden="false" customHeight="true" outlineLevel="0" collapsed="false">
      <c r="A234" s="8" t="s">
        <v>936</v>
      </c>
      <c r="B234" s="8" t="s">
        <v>937</v>
      </c>
      <c r="C234" s="8" t="s">
        <v>938</v>
      </c>
      <c r="D234" s="8" t="s">
        <v>530</v>
      </c>
      <c r="E234" s="8" t="s">
        <v>24</v>
      </c>
      <c r="F234" s="8" t="s">
        <v>35</v>
      </c>
      <c r="G234" s="8" t="s">
        <v>36</v>
      </c>
      <c r="H234" s="8" t="s">
        <v>77</v>
      </c>
      <c r="I234" s="8" t="s">
        <v>78</v>
      </c>
      <c r="J234" s="8" t="s">
        <v>29</v>
      </c>
      <c r="K234" s="8" t="n">
        <v>4</v>
      </c>
      <c r="L234" s="8" t="n">
        <v>44.99</v>
      </c>
      <c r="M234" s="8" t="n">
        <v>0</v>
      </c>
      <c r="N234" s="8" t="n">
        <v>179.96</v>
      </c>
      <c r="O234" s="8" t="n">
        <v>41.23</v>
      </c>
    </row>
    <row r="235" customFormat="false" ht="15" hidden="false" customHeight="true" outlineLevel="0" collapsed="false">
      <c r="A235" s="8" t="s">
        <v>939</v>
      </c>
      <c r="B235" s="8" t="s">
        <v>940</v>
      </c>
      <c r="C235" s="8" t="s">
        <v>941</v>
      </c>
      <c r="D235" s="8" t="s">
        <v>942</v>
      </c>
      <c r="E235" s="8" t="s">
        <v>34</v>
      </c>
      <c r="F235" s="8" t="s">
        <v>69</v>
      </c>
      <c r="G235" s="8" t="s">
        <v>26</v>
      </c>
      <c r="H235" s="8" t="s">
        <v>103</v>
      </c>
      <c r="I235" s="8" t="s">
        <v>63</v>
      </c>
      <c r="J235" s="8" t="s">
        <v>39</v>
      </c>
      <c r="K235" s="8" t="n">
        <v>4</v>
      </c>
      <c r="L235" s="8" t="n">
        <v>292.47</v>
      </c>
      <c r="M235" s="8" t="n">
        <v>0.15</v>
      </c>
      <c r="N235" s="8" t="n">
        <v>994.4</v>
      </c>
      <c r="O235" s="8" t="n">
        <v>291.36</v>
      </c>
    </row>
    <row r="236" customFormat="false" ht="15" hidden="false" customHeight="true" outlineLevel="0" collapsed="false">
      <c r="A236" s="8" t="s">
        <v>943</v>
      </c>
      <c r="B236" s="8" t="s">
        <v>944</v>
      </c>
      <c r="C236" s="8" t="s">
        <v>517</v>
      </c>
      <c r="D236" s="8" t="s">
        <v>945</v>
      </c>
      <c r="E236" s="8"/>
      <c r="F236" s="8" t="s">
        <v>35</v>
      </c>
      <c r="G236" s="8" t="s">
        <v>62</v>
      </c>
      <c r="H236" s="8" t="s">
        <v>245</v>
      </c>
      <c r="I236" s="8" t="s">
        <v>96</v>
      </c>
      <c r="J236" s="8" t="s">
        <v>47</v>
      </c>
      <c r="K236" s="8" t="n">
        <v>2</v>
      </c>
      <c r="L236" s="8" t="n">
        <v>740.15</v>
      </c>
      <c r="M236" s="8"/>
      <c r="N236" s="8" t="n">
        <v>1480.3</v>
      </c>
      <c r="O236" s="8"/>
    </row>
    <row r="237" customFormat="false" ht="15" hidden="false" customHeight="true" outlineLevel="0" collapsed="false">
      <c r="A237" s="8" t="s">
        <v>946</v>
      </c>
      <c r="B237" s="8" t="s">
        <v>423</v>
      </c>
      <c r="C237" s="8" t="s">
        <v>947</v>
      </c>
      <c r="D237" s="8" t="s">
        <v>948</v>
      </c>
      <c r="E237" s="8" t="s">
        <v>34</v>
      </c>
      <c r="F237" s="8" t="s">
        <v>35</v>
      </c>
      <c r="G237" s="8" t="s">
        <v>62</v>
      </c>
      <c r="H237" s="8" t="s">
        <v>103</v>
      </c>
      <c r="I237" s="8" t="s">
        <v>104</v>
      </c>
      <c r="J237" s="8" t="s">
        <v>29</v>
      </c>
      <c r="K237" s="8" t="n">
        <v>5</v>
      </c>
      <c r="L237" s="8" t="n">
        <v>934.03</v>
      </c>
      <c r="M237" s="8"/>
      <c r="N237" s="8" t="n">
        <v>4670.15</v>
      </c>
      <c r="O237" s="8" t="n">
        <v>281.5</v>
      </c>
    </row>
    <row r="238" customFormat="false" ht="15" hidden="false" customHeight="true" outlineLevel="0" collapsed="false">
      <c r="A238" s="8" t="s">
        <v>949</v>
      </c>
      <c r="B238" s="8" t="s">
        <v>950</v>
      </c>
      <c r="C238" s="8" t="s">
        <v>951</v>
      </c>
      <c r="D238" s="8" t="s">
        <v>952</v>
      </c>
      <c r="E238" s="8"/>
      <c r="F238" s="8" t="s">
        <v>35</v>
      </c>
      <c r="G238" s="8" t="s">
        <v>36</v>
      </c>
      <c r="H238" s="8" t="s">
        <v>27</v>
      </c>
      <c r="I238" s="8" t="s">
        <v>46</v>
      </c>
      <c r="J238" s="8" t="s">
        <v>29</v>
      </c>
      <c r="K238" s="8" t="n">
        <v>3</v>
      </c>
      <c r="L238" s="8" t="n">
        <v>839.9</v>
      </c>
      <c r="M238" s="8" t="n">
        <v>0.05</v>
      </c>
      <c r="N238" s="8" t="n">
        <v>2393.71</v>
      </c>
      <c r="O238" s="8" t="n">
        <v>241.89</v>
      </c>
    </row>
    <row r="239" customFormat="false" ht="15" hidden="false" customHeight="true" outlineLevel="0" collapsed="false">
      <c r="A239" s="8" t="s">
        <v>953</v>
      </c>
      <c r="B239" s="8" t="s">
        <v>954</v>
      </c>
      <c r="C239" s="8" t="s">
        <v>955</v>
      </c>
      <c r="D239" s="8" t="s">
        <v>956</v>
      </c>
      <c r="E239" s="8"/>
      <c r="F239" s="8" t="s">
        <v>94</v>
      </c>
      <c r="G239" s="8" t="s">
        <v>215</v>
      </c>
      <c r="H239" s="8" t="s">
        <v>148</v>
      </c>
      <c r="I239" s="8" t="s">
        <v>46</v>
      </c>
      <c r="J239" s="8" t="s">
        <v>29</v>
      </c>
      <c r="K239" s="8" t="n">
        <v>2</v>
      </c>
      <c r="L239" s="8" t="n">
        <v>599.71</v>
      </c>
      <c r="M239" s="8" t="n">
        <v>0.2</v>
      </c>
      <c r="N239" s="8" t="n">
        <v>959.54</v>
      </c>
      <c r="O239" s="8" t="n">
        <v>196.63</v>
      </c>
    </row>
    <row r="240" customFormat="false" ht="15" hidden="false" customHeight="true" outlineLevel="0" collapsed="false">
      <c r="A240" s="8" t="s">
        <v>957</v>
      </c>
      <c r="B240" s="8" t="s">
        <v>958</v>
      </c>
      <c r="C240" s="8" t="s">
        <v>959</v>
      </c>
      <c r="D240" s="8" t="s">
        <v>960</v>
      </c>
      <c r="E240" s="8" t="s">
        <v>52</v>
      </c>
      <c r="F240" s="8" t="s">
        <v>94</v>
      </c>
      <c r="G240" s="8" t="s">
        <v>326</v>
      </c>
      <c r="H240" s="8" t="s">
        <v>77</v>
      </c>
      <c r="I240" s="8" t="s">
        <v>425</v>
      </c>
      <c r="J240" s="8" t="s">
        <v>39</v>
      </c>
      <c r="K240" s="8" t="n">
        <v>5</v>
      </c>
      <c r="L240" s="8" t="n">
        <v>824.89</v>
      </c>
      <c r="M240" s="8" t="n">
        <v>0.15</v>
      </c>
      <c r="N240" s="8" t="n">
        <v>3505.78</v>
      </c>
      <c r="O240" s="8" t="n">
        <v>648.16</v>
      </c>
    </row>
    <row r="241" customFormat="false" ht="15" hidden="false" customHeight="true" outlineLevel="0" collapsed="false">
      <c r="A241" s="8" t="s">
        <v>961</v>
      </c>
      <c r="B241" s="8" t="s">
        <v>962</v>
      </c>
      <c r="C241" s="8" t="s">
        <v>963</v>
      </c>
      <c r="D241" s="8" t="s">
        <v>964</v>
      </c>
      <c r="E241" s="8"/>
      <c r="F241" s="8" t="s">
        <v>61</v>
      </c>
      <c r="G241" s="8" t="s">
        <v>76</v>
      </c>
      <c r="H241" s="8" t="s">
        <v>114</v>
      </c>
      <c r="I241" s="8" t="s">
        <v>201</v>
      </c>
      <c r="J241" s="8" t="s">
        <v>64</v>
      </c>
      <c r="K241" s="8" t="n">
        <v>1</v>
      </c>
      <c r="L241" s="8" t="n">
        <v>282.02</v>
      </c>
      <c r="M241" s="8" t="n">
        <v>0</v>
      </c>
      <c r="N241" s="8" t="n">
        <v>282.02</v>
      </c>
      <c r="O241" s="8" t="n">
        <v>1.78</v>
      </c>
    </row>
    <row r="242" customFormat="false" ht="15" hidden="false" customHeight="true" outlineLevel="0" collapsed="false">
      <c r="A242" s="8" t="s">
        <v>965</v>
      </c>
      <c r="B242" s="8" t="s">
        <v>966</v>
      </c>
      <c r="C242" s="8" t="s">
        <v>967</v>
      </c>
      <c r="D242" s="8"/>
      <c r="E242" s="8" t="s">
        <v>24</v>
      </c>
      <c r="F242" s="8" t="s">
        <v>44</v>
      </c>
      <c r="G242" s="8" t="s">
        <v>62</v>
      </c>
      <c r="H242" s="8" t="s">
        <v>280</v>
      </c>
      <c r="I242" s="8" t="s">
        <v>115</v>
      </c>
      <c r="J242" s="8" t="s">
        <v>29</v>
      </c>
      <c r="K242" s="8" t="n">
        <v>2</v>
      </c>
      <c r="L242" s="8" t="n">
        <v>1116.37</v>
      </c>
      <c r="M242" s="8" t="n">
        <v>0.15</v>
      </c>
      <c r="N242" s="8" t="n">
        <v>1897.83</v>
      </c>
      <c r="O242" s="8" t="n">
        <v>-188.43</v>
      </c>
    </row>
    <row r="243" customFormat="false" ht="15" hidden="false" customHeight="true" outlineLevel="0" collapsed="false">
      <c r="A243" s="8" t="s">
        <v>968</v>
      </c>
      <c r="B243" s="8" t="s">
        <v>969</v>
      </c>
      <c r="C243" s="8" t="s">
        <v>970</v>
      </c>
      <c r="D243" s="8" t="s">
        <v>971</v>
      </c>
      <c r="E243" s="8" t="s">
        <v>34</v>
      </c>
      <c r="F243" s="8" t="s">
        <v>25</v>
      </c>
      <c r="G243" s="8" t="s">
        <v>89</v>
      </c>
      <c r="H243" s="8" t="s">
        <v>191</v>
      </c>
      <c r="I243" s="8" t="s">
        <v>425</v>
      </c>
      <c r="J243" s="8" t="s">
        <v>64</v>
      </c>
      <c r="K243" s="8" t="n">
        <v>5</v>
      </c>
      <c r="L243" s="8" t="n">
        <v>383.1</v>
      </c>
      <c r="M243" s="8" t="n">
        <v>0.15</v>
      </c>
      <c r="N243" s="8" t="n">
        <v>1628.17</v>
      </c>
      <c r="O243" s="8" t="n">
        <v>458.68</v>
      </c>
    </row>
    <row r="244" customFormat="false" ht="15" hidden="false" customHeight="true" outlineLevel="0" collapsed="false">
      <c r="A244" s="8" t="s">
        <v>972</v>
      </c>
      <c r="B244" s="8" t="s">
        <v>973</v>
      </c>
      <c r="C244" s="8" t="s">
        <v>974</v>
      </c>
      <c r="D244" s="8" t="s">
        <v>60</v>
      </c>
      <c r="E244" s="8" t="s">
        <v>34</v>
      </c>
      <c r="F244" s="8" t="s">
        <v>35</v>
      </c>
      <c r="G244" s="8" t="s">
        <v>36</v>
      </c>
      <c r="H244" s="8" t="s">
        <v>45</v>
      </c>
      <c r="I244" s="8" t="s">
        <v>149</v>
      </c>
      <c r="J244" s="8" t="s">
        <v>64</v>
      </c>
      <c r="K244" s="8" t="n">
        <v>2</v>
      </c>
      <c r="L244" s="8" t="n">
        <v>32.99</v>
      </c>
      <c r="M244" s="8"/>
      <c r="N244" s="8" t="n">
        <v>65.98</v>
      </c>
      <c r="O244" s="8" t="n">
        <v>-4.82</v>
      </c>
    </row>
    <row r="245" customFormat="false" ht="15" hidden="false" customHeight="true" outlineLevel="0" collapsed="false">
      <c r="A245" s="8" t="s">
        <v>975</v>
      </c>
      <c r="B245" s="8" t="s">
        <v>976</v>
      </c>
      <c r="C245" s="8" t="s">
        <v>977</v>
      </c>
      <c r="D245" s="8" t="s">
        <v>978</v>
      </c>
      <c r="E245" s="8" t="s">
        <v>34</v>
      </c>
      <c r="F245" s="8" t="s">
        <v>69</v>
      </c>
      <c r="G245" s="8" t="s">
        <v>89</v>
      </c>
      <c r="H245" s="8" t="s">
        <v>245</v>
      </c>
      <c r="I245" s="8" t="s">
        <v>201</v>
      </c>
      <c r="J245" s="8" t="s">
        <v>29</v>
      </c>
      <c r="K245" s="8" t="n">
        <v>3</v>
      </c>
      <c r="L245" s="8" t="n">
        <v>566.87</v>
      </c>
      <c r="M245" s="8"/>
      <c r="N245" s="8" t="n">
        <v>1700.61</v>
      </c>
      <c r="O245" s="8" t="n">
        <v>404.76</v>
      </c>
    </row>
    <row r="246" customFormat="false" ht="15" hidden="false" customHeight="true" outlineLevel="0" collapsed="false">
      <c r="A246" s="8" t="s">
        <v>979</v>
      </c>
      <c r="B246" s="8" t="s">
        <v>980</v>
      </c>
      <c r="C246" s="8" t="s">
        <v>981</v>
      </c>
      <c r="D246" s="8" t="s">
        <v>982</v>
      </c>
      <c r="E246" s="8" t="s">
        <v>52</v>
      </c>
      <c r="F246" s="8" t="s">
        <v>44</v>
      </c>
      <c r="G246" s="8" t="s">
        <v>76</v>
      </c>
      <c r="H246" s="8" t="s">
        <v>27</v>
      </c>
      <c r="I246" s="8" t="s">
        <v>149</v>
      </c>
      <c r="J246" s="8" t="s">
        <v>39</v>
      </c>
      <c r="K246" s="8" t="n">
        <v>2</v>
      </c>
      <c r="L246" s="8" t="n">
        <v>231.99</v>
      </c>
      <c r="M246" s="8" t="n">
        <v>0.2</v>
      </c>
      <c r="N246" s="8" t="n">
        <v>371.18</v>
      </c>
      <c r="O246" s="8" t="n">
        <v>-25.94</v>
      </c>
    </row>
    <row r="247" customFormat="false" ht="15" hidden="false" customHeight="true" outlineLevel="0" collapsed="false">
      <c r="A247" s="8" t="s">
        <v>983</v>
      </c>
      <c r="B247" s="8" t="s">
        <v>984</v>
      </c>
      <c r="C247" s="8" t="s">
        <v>985</v>
      </c>
      <c r="D247" s="8" t="s">
        <v>986</v>
      </c>
      <c r="E247" s="8" t="s">
        <v>24</v>
      </c>
      <c r="F247" s="8" t="s">
        <v>372</v>
      </c>
      <c r="G247" s="8" t="s">
        <v>215</v>
      </c>
      <c r="H247" s="8" t="s">
        <v>206</v>
      </c>
      <c r="I247" s="8" t="s">
        <v>143</v>
      </c>
      <c r="J247" s="8" t="s">
        <v>39</v>
      </c>
      <c r="K247" s="8" t="n">
        <v>2</v>
      </c>
      <c r="L247" s="8" t="n">
        <v>520.9</v>
      </c>
      <c r="M247" s="8" t="n">
        <v>0.2</v>
      </c>
      <c r="N247" s="8" t="n">
        <v>833.44</v>
      </c>
      <c r="O247" s="8" t="n">
        <v>-31.19</v>
      </c>
    </row>
    <row r="248" customFormat="false" ht="15" hidden="false" customHeight="true" outlineLevel="0" collapsed="false">
      <c r="A248" s="8" t="s">
        <v>987</v>
      </c>
      <c r="B248" s="8" t="s">
        <v>988</v>
      </c>
      <c r="C248" s="8" t="s">
        <v>989</v>
      </c>
      <c r="D248" s="8" t="s">
        <v>990</v>
      </c>
      <c r="E248" s="8"/>
      <c r="F248" s="8" t="s">
        <v>147</v>
      </c>
      <c r="G248" s="8" t="s">
        <v>215</v>
      </c>
      <c r="H248" s="8" t="s">
        <v>77</v>
      </c>
      <c r="I248" s="8" t="s">
        <v>127</v>
      </c>
      <c r="J248" s="8" t="s">
        <v>29</v>
      </c>
      <c r="K248" s="8" t="n">
        <v>1</v>
      </c>
      <c r="L248" s="8" t="n">
        <v>1108.64</v>
      </c>
      <c r="M248" s="8" t="n">
        <v>0.1</v>
      </c>
      <c r="N248" s="8" t="n">
        <v>997.78</v>
      </c>
      <c r="O248" s="8" t="n">
        <v>205.03</v>
      </c>
    </row>
    <row r="249" customFormat="false" ht="15" hidden="false" customHeight="true" outlineLevel="0" collapsed="false">
      <c r="A249" s="8" t="s">
        <v>991</v>
      </c>
      <c r="B249" s="8" t="s">
        <v>265</v>
      </c>
      <c r="C249" s="8" t="s">
        <v>266</v>
      </c>
      <c r="D249" s="8" t="s">
        <v>613</v>
      </c>
      <c r="E249" s="8" t="s">
        <v>24</v>
      </c>
      <c r="F249" s="8" t="s">
        <v>147</v>
      </c>
      <c r="G249" s="8" t="s">
        <v>215</v>
      </c>
      <c r="H249" s="8" t="s">
        <v>83</v>
      </c>
      <c r="I249" s="8" t="s">
        <v>84</v>
      </c>
      <c r="J249" s="8" t="s">
        <v>64</v>
      </c>
      <c r="K249" s="8" t="n">
        <v>2</v>
      </c>
      <c r="L249" s="8" t="n">
        <v>590.1</v>
      </c>
      <c r="M249" s="8" t="n">
        <v>0.15</v>
      </c>
      <c r="N249" s="8" t="n">
        <v>1003.17</v>
      </c>
      <c r="O249" s="8" t="n">
        <v>184.39</v>
      </c>
    </row>
    <row r="250" customFormat="false" ht="15" hidden="false" customHeight="true" outlineLevel="0" collapsed="false">
      <c r="A250" s="8" t="s">
        <v>992</v>
      </c>
      <c r="B250" s="8" t="s">
        <v>993</v>
      </c>
      <c r="C250" s="8" t="s">
        <v>994</v>
      </c>
      <c r="D250" s="8" t="s">
        <v>995</v>
      </c>
      <c r="E250" s="8" t="s">
        <v>24</v>
      </c>
      <c r="F250" s="8" t="s">
        <v>61</v>
      </c>
      <c r="G250" s="8" t="s">
        <v>76</v>
      </c>
      <c r="H250" s="8" t="s">
        <v>83</v>
      </c>
      <c r="I250" s="8" t="s">
        <v>84</v>
      </c>
      <c r="J250" s="8" t="s">
        <v>39</v>
      </c>
      <c r="K250" s="8" t="n">
        <v>1</v>
      </c>
      <c r="L250" s="8" t="n">
        <v>919.41</v>
      </c>
      <c r="M250" s="8"/>
      <c r="N250" s="8" t="n">
        <v>919.41</v>
      </c>
      <c r="O250" s="8" t="n">
        <v>5.13</v>
      </c>
    </row>
    <row r="251" customFormat="false" ht="15" hidden="false" customHeight="true" outlineLevel="0" collapsed="false">
      <c r="A251" s="8" t="s">
        <v>996</v>
      </c>
      <c r="B251" s="8" t="s">
        <v>997</v>
      </c>
      <c r="C251" s="8" t="s">
        <v>998</v>
      </c>
      <c r="D251" s="8" t="s">
        <v>186</v>
      </c>
      <c r="E251" s="8"/>
      <c r="F251" s="8" t="s">
        <v>173</v>
      </c>
      <c r="G251" s="8" t="s">
        <v>102</v>
      </c>
      <c r="H251" s="8" t="s">
        <v>37</v>
      </c>
      <c r="I251" s="8" t="s">
        <v>527</v>
      </c>
      <c r="J251" s="8" t="s">
        <v>39</v>
      </c>
      <c r="K251" s="8"/>
      <c r="L251" s="8" t="n">
        <v>221.07</v>
      </c>
      <c r="M251" s="8" t="n">
        <v>0.2</v>
      </c>
      <c r="N251" s="8" t="n">
        <v>176.86</v>
      </c>
      <c r="O251" s="8" t="n">
        <v>43.63</v>
      </c>
    </row>
    <row r="252" customFormat="false" ht="15" hidden="false" customHeight="true" outlineLevel="0" collapsed="false">
      <c r="A252" s="8" t="s">
        <v>999</v>
      </c>
      <c r="B252" s="8" t="s">
        <v>447</v>
      </c>
      <c r="C252" s="8" t="s">
        <v>1000</v>
      </c>
      <c r="D252" s="8" t="s">
        <v>736</v>
      </c>
      <c r="E252" s="8" t="s">
        <v>34</v>
      </c>
      <c r="F252" s="8" t="s">
        <v>126</v>
      </c>
      <c r="G252" s="8" t="s">
        <v>26</v>
      </c>
      <c r="H252" s="8" t="s">
        <v>55</v>
      </c>
      <c r="I252" s="8" t="s">
        <v>104</v>
      </c>
      <c r="J252" s="8" t="s">
        <v>29</v>
      </c>
      <c r="K252" s="8"/>
      <c r="L252" s="8" t="n">
        <v>759.51</v>
      </c>
      <c r="M252" s="8"/>
      <c r="N252" s="8" t="n">
        <v>759.51</v>
      </c>
      <c r="O252" s="8" t="n">
        <v>208.31</v>
      </c>
    </row>
    <row r="253" customFormat="false" ht="15" hidden="false" customHeight="true" outlineLevel="0" collapsed="false">
      <c r="A253" s="8" t="s">
        <v>1001</v>
      </c>
      <c r="B253" s="8" t="s">
        <v>231</v>
      </c>
      <c r="C253" s="8" t="s">
        <v>1002</v>
      </c>
      <c r="D253" s="8" t="s">
        <v>1003</v>
      </c>
      <c r="E253" s="8" t="s">
        <v>52</v>
      </c>
      <c r="F253" s="8" t="s">
        <v>101</v>
      </c>
      <c r="G253" s="8" t="s">
        <v>119</v>
      </c>
      <c r="H253" s="8" t="s">
        <v>27</v>
      </c>
      <c r="I253" s="8" t="s">
        <v>46</v>
      </c>
      <c r="J253" s="8" t="s">
        <v>39</v>
      </c>
      <c r="K253" s="8"/>
      <c r="L253" s="8" t="n">
        <v>297.83</v>
      </c>
      <c r="M253" s="8" t="n">
        <v>0.2</v>
      </c>
      <c r="N253" s="8" t="n">
        <v>238.26</v>
      </c>
      <c r="O253" s="8" t="n">
        <v>2.43</v>
      </c>
    </row>
    <row r="254" customFormat="false" ht="15" hidden="false" customHeight="true" outlineLevel="0" collapsed="false">
      <c r="A254" s="8" t="s">
        <v>1004</v>
      </c>
      <c r="B254" s="8" t="s">
        <v>151</v>
      </c>
      <c r="C254" s="8" t="s">
        <v>1005</v>
      </c>
      <c r="D254" s="8" t="s">
        <v>1006</v>
      </c>
      <c r="E254" s="8" t="s">
        <v>52</v>
      </c>
      <c r="F254" s="8" t="s">
        <v>147</v>
      </c>
      <c r="G254" s="8" t="s">
        <v>54</v>
      </c>
      <c r="H254" s="8" t="s">
        <v>37</v>
      </c>
      <c r="I254" s="8" t="s">
        <v>404</v>
      </c>
      <c r="J254" s="8" t="s">
        <v>29</v>
      </c>
      <c r="K254" s="8"/>
      <c r="L254" s="8" t="n">
        <v>633.21</v>
      </c>
      <c r="M254" s="8"/>
      <c r="N254" s="8" t="n">
        <v>633.21</v>
      </c>
      <c r="O254" s="8" t="n">
        <v>186.85</v>
      </c>
    </row>
    <row r="255" customFormat="false" ht="15" hidden="false" customHeight="true" outlineLevel="0" collapsed="false">
      <c r="A255" s="8" t="s">
        <v>1007</v>
      </c>
      <c r="B255" s="8" t="s">
        <v>1008</v>
      </c>
      <c r="C255" s="8" t="s">
        <v>1009</v>
      </c>
      <c r="D255" s="8" t="s">
        <v>1010</v>
      </c>
      <c r="E255" s="8" t="s">
        <v>24</v>
      </c>
      <c r="F255" s="8" t="s">
        <v>61</v>
      </c>
      <c r="G255" s="8" t="s">
        <v>62</v>
      </c>
      <c r="H255" s="8" t="s">
        <v>114</v>
      </c>
      <c r="I255" s="8" t="s">
        <v>115</v>
      </c>
      <c r="J255" s="8" t="s">
        <v>47</v>
      </c>
      <c r="K255" s="8" t="n">
        <v>1</v>
      </c>
      <c r="L255" s="8" t="n">
        <v>727.52</v>
      </c>
      <c r="M255" s="8" t="n">
        <v>0.05</v>
      </c>
      <c r="N255" s="8" t="n">
        <v>691.14</v>
      </c>
      <c r="O255" s="8" t="n">
        <v>13.94</v>
      </c>
    </row>
    <row r="256" customFormat="false" ht="15" hidden="false" customHeight="true" outlineLevel="0" collapsed="false">
      <c r="A256" s="8" t="s">
        <v>1011</v>
      </c>
      <c r="B256" s="8" t="s">
        <v>1012</v>
      </c>
      <c r="C256" s="8" t="s">
        <v>1013</v>
      </c>
      <c r="D256" s="8" t="s">
        <v>403</v>
      </c>
      <c r="E256" s="8"/>
      <c r="F256" s="8" t="s">
        <v>61</v>
      </c>
      <c r="G256" s="8" t="s">
        <v>76</v>
      </c>
      <c r="H256" s="8" t="s">
        <v>148</v>
      </c>
      <c r="I256" s="8" t="s">
        <v>46</v>
      </c>
      <c r="J256" s="8" t="s">
        <v>64</v>
      </c>
      <c r="K256" s="8" t="n">
        <v>2</v>
      </c>
      <c r="L256" s="8" t="n">
        <v>937.72</v>
      </c>
      <c r="M256" s="8" t="n">
        <v>0.2</v>
      </c>
      <c r="N256" s="8" t="n">
        <v>1500.35</v>
      </c>
      <c r="O256" s="8" t="n">
        <v>469.78</v>
      </c>
    </row>
    <row r="257" customFormat="false" ht="15" hidden="false" customHeight="true" outlineLevel="0" collapsed="false">
      <c r="A257" s="8" t="s">
        <v>1014</v>
      </c>
      <c r="B257" s="8" t="s">
        <v>1015</v>
      </c>
      <c r="C257" s="8" t="s">
        <v>1016</v>
      </c>
      <c r="D257" s="8"/>
      <c r="E257" s="8" t="s">
        <v>34</v>
      </c>
      <c r="F257" s="8" t="s">
        <v>173</v>
      </c>
      <c r="G257" s="8" t="s">
        <v>102</v>
      </c>
      <c r="H257" s="8" t="s">
        <v>359</v>
      </c>
      <c r="I257" s="8" t="s">
        <v>133</v>
      </c>
      <c r="J257" s="8" t="s">
        <v>29</v>
      </c>
      <c r="K257" s="8" t="n">
        <v>1</v>
      </c>
      <c r="L257" s="8" t="n">
        <v>538.5</v>
      </c>
      <c r="M257" s="8"/>
      <c r="N257" s="8" t="n">
        <v>538.5</v>
      </c>
      <c r="O257" s="8" t="n">
        <v>52.52</v>
      </c>
    </row>
    <row r="258" customFormat="false" ht="15" hidden="false" customHeight="true" outlineLevel="0" collapsed="false">
      <c r="A258" s="8" t="s">
        <v>1017</v>
      </c>
      <c r="B258" s="8" t="s">
        <v>1018</v>
      </c>
      <c r="C258" s="8" t="s">
        <v>1019</v>
      </c>
      <c r="D258" s="8" t="s">
        <v>1020</v>
      </c>
      <c r="E258" s="8" t="s">
        <v>52</v>
      </c>
      <c r="F258" s="8" t="s">
        <v>147</v>
      </c>
      <c r="G258" s="8" t="s">
        <v>326</v>
      </c>
      <c r="H258" s="8" t="s">
        <v>37</v>
      </c>
      <c r="I258" s="8" t="s">
        <v>404</v>
      </c>
      <c r="J258" s="8" t="s">
        <v>47</v>
      </c>
      <c r="K258" s="8" t="n">
        <v>1</v>
      </c>
      <c r="L258" s="8" t="n">
        <v>741.25</v>
      </c>
      <c r="M258" s="8"/>
      <c r="N258" s="8" t="n">
        <v>741.25</v>
      </c>
      <c r="O258" s="8" t="n">
        <v>147.53</v>
      </c>
    </row>
    <row r="259" customFormat="false" ht="15" hidden="false" customHeight="true" outlineLevel="0" collapsed="false">
      <c r="A259" s="8" t="s">
        <v>1021</v>
      </c>
      <c r="B259" s="8" t="s">
        <v>189</v>
      </c>
      <c r="C259" s="8" t="s">
        <v>1022</v>
      </c>
      <c r="D259" s="8" t="s">
        <v>1023</v>
      </c>
      <c r="E259" s="8"/>
      <c r="F259" s="8" t="s">
        <v>25</v>
      </c>
      <c r="G259" s="8" t="s">
        <v>26</v>
      </c>
      <c r="H259" s="8" t="s">
        <v>191</v>
      </c>
      <c r="I259" s="8" t="s">
        <v>425</v>
      </c>
      <c r="J259" s="8" t="s">
        <v>29</v>
      </c>
      <c r="K259" s="8" t="n">
        <v>1</v>
      </c>
      <c r="L259" s="8" t="n">
        <v>140.23</v>
      </c>
      <c r="M259" s="8" t="n">
        <v>0.15</v>
      </c>
      <c r="N259" s="8" t="n">
        <v>119.2</v>
      </c>
      <c r="O259" s="8" t="n">
        <v>13.9</v>
      </c>
    </row>
    <row r="260" customFormat="false" ht="15" hidden="false" customHeight="true" outlineLevel="0" collapsed="false">
      <c r="A260" s="8" t="s">
        <v>1024</v>
      </c>
      <c r="B260" s="8" t="s">
        <v>1025</v>
      </c>
      <c r="C260" s="8" t="s">
        <v>1026</v>
      </c>
      <c r="D260" s="8" t="s">
        <v>1027</v>
      </c>
      <c r="E260" s="8" t="s">
        <v>52</v>
      </c>
      <c r="F260" s="8" t="s">
        <v>154</v>
      </c>
      <c r="G260" s="8" t="s">
        <v>182</v>
      </c>
      <c r="H260" s="8" t="s">
        <v>103</v>
      </c>
      <c r="I260" s="8" t="s">
        <v>241</v>
      </c>
      <c r="J260" s="8" t="s">
        <v>39</v>
      </c>
      <c r="K260" s="8" t="n">
        <v>4</v>
      </c>
      <c r="L260" s="8" t="n">
        <v>460.74</v>
      </c>
      <c r="M260" s="8"/>
      <c r="N260" s="8" t="n">
        <v>1842.96</v>
      </c>
      <c r="O260" s="8" t="n">
        <v>481.51</v>
      </c>
    </row>
    <row r="261" customFormat="false" ht="15" hidden="false" customHeight="true" outlineLevel="0" collapsed="false">
      <c r="A261" s="8" t="s">
        <v>1028</v>
      </c>
      <c r="B261" s="8" t="s">
        <v>1029</v>
      </c>
      <c r="C261" s="8" t="s">
        <v>1030</v>
      </c>
      <c r="D261" s="8" t="s">
        <v>1031</v>
      </c>
      <c r="E261" s="8"/>
      <c r="F261" s="8" t="s">
        <v>69</v>
      </c>
      <c r="G261" s="8" t="s">
        <v>89</v>
      </c>
      <c r="H261" s="8" t="s">
        <v>132</v>
      </c>
      <c r="I261" s="8" t="s">
        <v>56</v>
      </c>
      <c r="J261" s="8" t="s">
        <v>29</v>
      </c>
      <c r="K261" s="8" t="n">
        <v>3</v>
      </c>
      <c r="L261" s="8" t="n">
        <v>275.18</v>
      </c>
      <c r="M261" s="8" t="n">
        <v>0.15</v>
      </c>
      <c r="N261" s="8" t="n">
        <v>701.71</v>
      </c>
      <c r="O261" s="8" t="n">
        <v>194.87</v>
      </c>
    </row>
    <row r="262" customFormat="false" ht="15" hidden="false" customHeight="true" outlineLevel="0" collapsed="false">
      <c r="A262" s="8" t="s">
        <v>1032</v>
      </c>
      <c r="B262" s="8" t="s">
        <v>1033</v>
      </c>
      <c r="C262" s="8" t="s">
        <v>1034</v>
      </c>
      <c r="D262" s="8" t="s">
        <v>1035</v>
      </c>
      <c r="E262" s="8" t="s">
        <v>24</v>
      </c>
      <c r="F262" s="8" t="s">
        <v>126</v>
      </c>
      <c r="G262" s="8" t="s">
        <v>89</v>
      </c>
      <c r="H262" s="8" t="s">
        <v>191</v>
      </c>
      <c r="I262" s="8" t="s">
        <v>425</v>
      </c>
      <c r="J262" s="8" t="s">
        <v>39</v>
      </c>
      <c r="K262" s="8" t="n">
        <v>5</v>
      </c>
      <c r="L262" s="8" t="n">
        <v>481.42</v>
      </c>
      <c r="M262" s="8" t="n">
        <v>0</v>
      </c>
      <c r="N262" s="8" t="n">
        <v>2407.1</v>
      </c>
      <c r="O262" s="8" t="n">
        <v>-17.35</v>
      </c>
    </row>
    <row r="263" customFormat="false" ht="15" hidden="false" customHeight="true" outlineLevel="0" collapsed="false">
      <c r="A263" s="8" t="s">
        <v>1036</v>
      </c>
      <c r="B263" s="8" t="s">
        <v>1037</v>
      </c>
      <c r="C263" s="8" t="s">
        <v>1038</v>
      </c>
      <c r="D263" s="8"/>
      <c r="E263" s="8"/>
      <c r="F263" s="8" t="s">
        <v>126</v>
      </c>
      <c r="G263" s="8" t="s">
        <v>89</v>
      </c>
      <c r="H263" s="8" t="s">
        <v>359</v>
      </c>
      <c r="I263" s="8" t="s">
        <v>241</v>
      </c>
      <c r="J263" s="8" t="s">
        <v>47</v>
      </c>
      <c r="K263" s="8" t="n">
        <v>3</v>
      </c>
      <c r="L263" s="8" t="n">
        <v>737.58</v>
      </c>
      <c r="M263" s="8" t="n">
        <v>0.1</v>
      </c>
      <c r="N263" s="8" t="n">
        <v>1991.47</v>
      </c>
      <c r="O263" s="8" t="n">
        <v>612.82</v>
      </c>
    </row>
    <row r="264" customFormat="false" ht="15" hidden="false" customHeight="true" outlineLevel="0" collapsed="false">
      <c r="A264" s="8" t="s">
        <v>1039</v>
      </c>
      <c r="B264" s="8" t="s">
        <v>950</v>
      </c>
      <c r="C264" s="8" t="s">
        <v>951</v>
      </c>
      <c r="D264" s="8" t="s">
        <v>1040</v>
      </c>
      <c r="E264" s="8"/>
      <c r="F264" s="8" t="s">
        <v>229</v>
      </c>
      <c r="G264" s="8" t="s">
        <v>102</v>
      </c>
      <c r="H264" s="8" t="s">
        <v>114</v>
      </c>
      <c r="I264" s="8" t="s">
        <v>115</v>
      </c>
      <c r="J264" s="8" t="s">
        <v>39</v>
      </c>
      <c r="K264" s="8"/>
      <c r="L264" s="8" t="n">
        <v>143.91</v>
      </c>
      <c r="M264" s="8" t="n">
        <v>0.05</v>
      </c>
      <c r="N264" s="8" t="n">
        <v>136.71</v>
      </c>
      <c r="O264" s="8" t="n">
        <v>21.02</v>
      </c>
    </row>
    <row r="265" customFormat="false" ht="15" hidden="false" customHeight="true" outlineLevel="0" collapsed="false">
      <c r="A265" s="8" t="s">
        <v>1041</v>
      </c>
      <c r="B265" s="8" t="s">
        <v>1042</v>
      </c>
      <c r="C265" s="8" t="s">
        <v>1043</v>
      </c>
      <c r="D265" s="8" t="s">
        <v>853</v>
      </c>
      <c r="E265" s="8"/>
      <c r="F265" s="8" t="s">
        <v>147</v>
      </c>
      <c r="G265" s="8" t="s">
        <v>326</v>
      </c>
      <c r="H265" s="8" t="s">
        <v>70</v>
      </c>
      <c r="I265" s="8" t="s">
        <v>425</v>
      </c>
      <c r="J265" s="8" t="s">
        <v>29</v>
      </c>
      <c r="K265" s="8" t="n">
        <v>4</v>
      </c>
      <c r="L265" s="8" t="n">
        <v>421.23</v>
      </c>
      <c r="M265" s="8" t="n">
        <v>0.1</v>
      </c>
      <c r="N265" s="8" t="n">
        <v>1516.43</v>
      </c>
      <c r="O265" s="8" t="n">
        <v>-52.14</v>
      </c>
    </row>
    <row r="266" customFormat="false" ht="15" hidden="false" customHeight="true" outlineLevel="0" collapsed="false">
      <c r="A266" s="8" t="s">
        <v>1044</v>
      </c>
      <c r="B266" s="8" t="s">
        <v>1045</v>
      </c>
      <c r="C266" s="8" t="s">
        <v>1046</v>
      </c>
      <c r="D266" s="8" t="s">
        <v>1047</v>
      </c>
      <c r="E266" s="8" t="s">
        <v>52</v>
      </c>
      <c r="F266" s="8" t="s">
        <v>147</v>
      </c>
      <c r="G266" s="8" t="s">
        <v>54</v>
      </c>
      <c r="H266" s="8" t="s">
        <v>120</v>
      </c>
      <c r="I266" s="8" t="s">
        <v>121</v>
      </c>
      <c r="J266" s="8" t="s">
        <v>29</v>
      </c>
      <c r="K266" s="8" t="n">
        <v>2</v>
      </c>
      <c r="L266" s="8" t="n">
        <v>167.98</v>
      </c>
      <c r="M266" s="8" t="n">
        <v>0.15</v>
      </c>
      <c r="N266" s="8" t="n">
        <v>285.57</v>
      </c>
      <c r="O266" s="8"/>
    </row>
    <row r="267" customFormat="false" ht="15" hidden="false" customHeight="true" outlineLevel="0" collapsed="false">
      <c r="A267" s="8" t="s">
        <v>368</v>
      </c>
      <c r="B267" s="8" t="s">
        <v>369</v>
      </c>
      <c r="C267" s="8" t="s">
        <v>370</v>
      </c>
      <c r="D267" s="8" t="s">
        <v>371</v>
      </c>
      <c r="E267" s="8" t="s">
        <v>34</v>
      </c>
      <c r="F267" s="8" t="s">
        <v>372</v>
      </c>
      <c r="G267" s="8" t="s">
        <v>215</v>
      </c>
      <c r="H267" s="8" t="s">
        <v>132</v>
      </c>
      <c r="I267" s="8" t="s">
        <v>241</v>
      </c>
      <c r="J267" s="8" t="s">
        <v>64</v>
      </c>
      <c r="K267" s="8" t="n">
        <v>3</v>
      </c>
      <c r="L267" s="8" t="n">
        <v>667.22</v>
      </c>
      <c r="M267" s="8" t="n">
        <v>0.15</v>
      </c>
      <c r="N267" s="8" t="n">
        <v>1701.41</v>
      </c>
      <c r="O267" s="8"/>
    </row>
    <row r="268" customFormat="false" ht="15" hidden="false" customHeight="true" outlineLevel="0" collapsed="false">
      <c r="A268" s="8" t="s">
        <v>1048</v>
      </c>
      <c r="B268" s="8" t="s">
        <v>1049</v>
      </c>
      <c r="C268" s="8" t="s">
        <v>1050</v>
      </c>
      <c r="D268" s="8" t="s">
        <v>1051</v>
      </c>
      <c r="E268" s="8"/>
      <c r="F268" s="8" t="s">
        <v>69</v>
      </c>
      <c r="G268" s="8" t="s">
        <v>89</v>
      </c>
      <c r="H268" s="8" t="s">
        <v>95</v>
      </c>
      <c r="I268" s="8" t="s">
        <v>109</v>
      </c>
      <c r="J268" s="8" t="s">
        <v>47</v>
      </c>
      <c r="K268" s="8" t="n">
        <v>1</v>
      </c>
      <c r="L268" s="8" t="n">
        <v>638.96</v>
      </c>
      <c r="M268" s="8" t="n">
        <v>0</v>
      </c>
      <c r="N268" s="8" t="n">
        <v>638.96</v>
      </c>
      <c r="O268" s="8" t="n">
        <v>133.51</v>
      </c>
    </row>
    <row r="269" customFormat="false" ht="15" hidden="false" customHeight="true" outlineLevel="0" collapsed="false">
      <c r="A269" s="8" t="s">
        <v>1052</v>
      </c>
      <c r="B269" s="8" t="s">
        <v>1053</v>
      </c>
      <c r="C269" s="8" t="s">
        <v>1054</v>
      </c>
      <c r="D269" s="8" t="s">
        <v>1055</v>
      </c>
      <c r="E269" s="8" t="s">
        <v>52</v>
      </c>
      <c r="F269" s="8" t="s">
        <v>154</v>
      </c>
      <c r="G269" s="8" t="s">
        <v>119</v>
      </c>
      <c r="H269" s="8" t="s">
        <v>280</v>
      </c>
      <c r="I269" s="8" t="s">
        <v>115</v>
      </c>
      <c r="J269" s="8" t="s">
        <v>64</v>
      </c>
      <c r="K269" s="8" t="n">
        <v>1</v>
      </c>
      <c r="L269" s="8" t="n">
        <v>301.56</v>
      </c>
      <c r="M269" s="8" t="n">
        <v>0.2</v>
      </c>
      <c r="N269" s="8" t="n">
        <v>241.25</v>
      </c>
      <c r="O269" s="8" t="n">
        <v>32.08</v>
      </c>
    </row>
    <row r="270" customFormat="false" ht="15" hidden="false" customHeight="true" outlineLevel="0" collapsed="false">
      <c r="A270" s="8" t="s">
        <v>1056</v>
      </c>
      <c r="B270" s="8" t="s">
        <v>1057</v>
      </c>
      <c r="C270" s="8" t="s">
        <v>1058</v>
      </c>
      <c r="D270" s="8" t="s">
        <v>850</v>
      </c>
      <c r="E270" s="8"/>
      <c r="F270" s="8" t="s">
        <v>61</v>
      </c>
      <c r="G270" s="8" t="s">
        <v>62</v>
      </c>
      <c r="H270" s="8" t="s">
        <v>77</v>
      </c>
      <c r="I270" s="8" t="s">
        <v>127</v>
      </c>
      <c r="J270" s="8" t="s">
        <v>47</v>
      </c>
      <c r="K270" s="8" t="n">
        <v>1</v>
      </c>
      <c r="L270" s="8" t="n">
        <v>148.4</v>
      </c>
      <c r="M270" s="8" t="n">
        <v>0</v>
      </c>
      <c r="N270" s="8" t="n">
        <v>148.4</v>
      </c>
      <c r="O270" s="8" t="n">
        <v>31.49</v>
      </c>
    </row>
    <row r="271" customFormat="false" ht="15" hidden="false" customHeight="true" outlineLevel="0" collapsed="false">
      <c r="A271" s="8" t="s">
        <v>895</v>
      </c>
      <c r="B271" s="8" t="s">
        <v>896</v>
      </c>
      <c r="C271" s="8" t="s">
        <v>897</v>
      </c>
      <c r="D271" s="8" t="s">
        <v>898</v>
      </c>
      <c r="E271" s="8" t="s">
        <v>52</v>
      </c>
      <c r="F271" s="8" t="s">
        <v>69</v>
      </c>
      <c r="G271" s="8" t="s">
        <v>89</v>
      </c>
      <c r="H271" s="8" t="s">
        <v>95</v>
      </c>
      <c r="I271" s="8" t="s">
        <v>115</v>
      </c>
      <c r="J271" s="8" t="s">
        <v>64</v>
      </c>
      <c r="K271" s="8" t="n">
        <v>4</v>
      </c>
      <c r="L271" s="8" t="n">
        <v>546.67</v>
      </c>
      <c r="M271" s="8" t="n">
        <v>0</v>
      </c>
      <c r="N271" s="8" t="n">
        <v>2186.68</v>
      </c>
      <c r="O271" s="8" t="n">
        <v>346.82</v>
      </c>
    </row>
    <row r="272" customFormat="false" ht="15" hidden="false" customHeight="true" outlineLevel="0" collapsed="false">
      <c r="A272" s="8" t="s">
        <v>1059</v>
      </c>
      <c r="B272" s="8" t="s">
        <v>1019</v>
      </c>
      <c r="C272" s="8" t="s">
        <v>1060</v>
      </c>
      <c r="D272" s="8" t="s">
        <v>1061</v>
      </c>
      <c r="E272" s="8" t="s">
        <v>24</v>
      </c>
      <c r="F272" s="8" t="s">
        <v>126</v>
      </c>
      <c r="G272" s="8" t="s">
        <v>89</v>
      </c>
      <c r="H272" s="8" t="s">
        <v>114</v>
      </c>
      <c r="I272" s="8" t="s">
        <v>115</v>
      </c>
      <c r="J272" s="8" t="s">
        <v>29</v>
      </c>
      <c r="K272" s="8" t="n">
        <v>5</v>
      </c>
      <c r="L272" s="8" t="n">
        <v>587.51</v>
      </c>
      <c r="M272" s="8" t="n">
        <v>0</v>
      </c>
      <c r="N272" s="8" t="n">
        <v>2937.55</v>
      </c>
      <c r="O272" s="8" t="n">
        <v>-220.08</v>
      </c>
    </row>
    <row r="273" customFormat="false" ht="15" hidden="false" customHeight="true" outlineLevel="0" collapsed="false">
      <c r="A273" s="8" t="s">
        <v>1062</v>
      </c>
      <c r="B273" s="8" t="s">
        <v>1063</v>
      </c>
      <c r="C273" s="8" t="s">
        <v>1064</v>
      </c>
      <c r="D273" s="8" t="s">
        <v>1065</v>
      </c>
      <c r="E273" s="8" t="s">
        <v>24</v>
      </c>
      <c r="F273" s="8" t="s">
        <v>173</v>
      </c>
      <c r="G273" s="8" t="s">
        <v>182</v>
      </c>
      <c r="H273" s="8" t="s">
        <v>359</v>
      </c>
      <c r="I273" s="8" t="s">
        <v>241</v>
      </c>
      <c r="J273" s="8" t="s">
        <v>47</v>
      </c>
      <c r="K273" s="8" t="n">
        <v>1</v>
      </c>
      <c r="L273" s="8" t="n">
        <v>106.31</v>
      </c>
      <c r="M273" s="8" t="n">
        <v>0.1</v>
      </c>
      <c r="N273" s="8" t="n">
        <v>95.68</v>
      </c>
      <c r="O273" s="8" t="n">
        <v>-7.08</v>
      </c>
    </row>
    <row r="274" customFormat="false" ht="15" hidden="false" customHeight="true" outlineLevel="0" collapsed="false">
      <c r="A274" s="8" t="s">
        <v>1066</v>
      </c>
      <c r="B274" s="8" t="s">
        <v>1067</v>
      </c>
      <c r="C274" s="8" t="s">
        <v>1068</v>
      </c>
      <c r="D274" s="8" t="s">
        <v>1069</v>
      </c>
      <c r="E274" s="8" t="s">
        <v>24</v>
      </c>
      <c r="F274" s="8" t="s">
        <v>147</v>
      </c>
      <c r="G274" s="8" t="s">
        <v>54</v>
      </c>
      <c r="H274" s="8" t="s">
        <v>27</v>
      </c>
      <c r="I274" s="8" t="s">
        <v>160</v>
      </c>
      <c r="J274" s="8" t="s">
        <v>39</v>
      </c>
      <c r="K274" s="8" t="n">
        <v>2</v>
      </c>
      <c r="L274" s="8" t="n">
        <v>901.92</v>
      </c>
      <c r="M274" s="8" t="n">
        <v>0.2</v>
      </c>
      <c r="N274" s="8" t="n">
        <v>1443.07</v>
      </c>
      <c r="O274" s="8" t="n">
        <v>394.48</v>
      </c>
    </row>
    <row r="275" customFormat="false" ht="15" hidden="false" customHeight="true" outlineLevel="0" collapsed="false">
      <c r="A275" s="8" t="s">
        <v>1070</v>
      </c>
      <c r="B275" s="8" t="s">
        <v>866</v>
      </c>
      <c r="C275" s="8" t="s">
        <v>867</v>
      </c>
      <c r="D275" s="8" t="s">
        <v>1071</v>
      </c>
      <c r="E275" s="8"/>
      <c r="F275" s="8" t="s">
        <v>200</v>
      </c>
      <c r="G275" s="8" t="s">
        <v>82</v>
      </c>
      <c r="H275" s="8" t="s">
        <v>55</v>
      </c>
      <c r="I275" s="8" t="s">
        <v>220</v>
      </c>
      <c r="J275" s="8" t="s">
        <v>39</v>
      </c>
      <c r="K275" s="8" t="n">
        <v>2</v>
      </c>
      <c r="L275" s="8" t="n">
        <v>229.11</v>
      </c>
      <c r="M275" s="8"/>
      <c r="N275" s="8" t="n">
        <v>458.22</v>
      </c>
      <c r="O275" s="8" t="n">
        <v>145.25</v>
      </c>
    </row>
    <row r="276" customFormat="false" ht="15" hidden="false" customHeight="true" outlineLevel="0" collapsed="false">
      <c r="A276" s="8" t="s">
        <v>1072</v>
      </c>
      <c r="B276" s="8" t="s">
        <v>933</v>
      </c>
      <c r="C276" s="8" t="s">
        <v>1073</v>
      </c>
      <c r="D276" s="8" t="s">
        <v>1074</v>
      </c>
      <c r="E276" s="8" t="s">
        <v>34</v>
      </c>
      <c r="F276" s="8" t="s">
        <v>35</v>
      </c>
      <c r="G276" s="8" t="s">
        <v>62</v>
      </c>
      <c r="H276" s="8" t="s">
        <v>114</v>
      </c>
      <c r="I276" s="8" t="s">
        <v>297</v>
      </c>
      <c r="J276" s="8" t="s">
        <v>64</v>
      </c>
      <c r="K276" s="8"/>
      <c r="L276" s="8" t="n">
        <v>174.9</v>
      </c>
      <c r="M276" s="8"/>
      <c r="N276" s="8" t="n">
        <v>174.9</v>
      </c>
      <c r="O276" s="8" t="n">
        <v>23.09</v>
      </c>
    </row>
    <row r="277" customFormat="false" ht="15" hidden="false" customHeight="true" outlineLevel="0" collapsed="false">
      <c r="A277" s="8" t="s">
        <v>1075</v>
      </c>
      <c r="B277" s="8" t="s">
        <v>1076</v>
      </c>
      <c r="C277" s="8"/>
      <c r="D277" s="8"/>
      <c r="E277" s="8" t="s">
        <v>24</v>
      </c>
      <c r="F277" s="8" t="s">
        <v>200</v>
      </c>
      <c r="G277" s="8" t="s">
        <v>26</v>
      </c>
      <c r="H277" s="8" t="s">
        <v>148</v>
      </c>
      <c r="I277" s="8" t="s">
        <v>46</v>
      </c>
      <c r="J277" s="8" t="s">
        <v>39</v>
      </c>
      <c r="K277" s="8" t="n">
        <v>2</v>
      </c>
      <c r="L277" s="8" t="n">
        <v>735.53</v>
      </c>
      <c r="M277" s="8"/>
      <c r="N277" s="8" t="n">
        <v>1471.06</v>
      </c>
      <c r="O277" s="8" t="n">
        <v>462.18</v>
      </c>
    </row>
    <row r="278" customFormat="false" ht="15" hidden="false" customHeight="true" outlineLevel="0" collapsed="false">
      <c r="A278" s="8" t="s">
        <v>1077</v>
      </c>
      <c r="B278" s="8" t="s">
        <v>1078</v>
      </c>
      <c r="C278" s="8" t="s">
        <v>1079</v>
      </c>
      <c r="D278" s="8" t="s">
        <v>1080</v>
      </c>
      <c r="E278" s="8" t="s">
        <v>34</v>
      </c>
      <c r="F278" s="8" t="s">
        <v>229</v>
      </c>
      <c r="G278" s="8" t="s">
        <v>102</v>
      </c>
      <c r="H278" s="8" t="s">
        <v>206</v>
      </c>
      <c r="I278" s="8" t="s">
        <v>527</v>
      </c>
      <c r="J278" s="8" t="s">
        <v>29</v>
      </c>
      <c r="K278" s="8" t="n">
        <v>3</v>
      </c>
      <c r="L278" s="8" t="n">
        <v>507.46</v>
      </c>
      <c r="M278" s="8" t="n">
        <v>0.1</v>
      </c>
      <c r="N278" s="8" t="n">
        <v>1370.14</v>
      </c>
      <c r="O278" s="8" t="n">
        <v>411.37</v>
      </c>
    </row>
    <row r="279" customFormat="false" ht="15" hidden="false" customHeight="true" outlineLevel="0" collapsed="false">
      <c r="A279" s="8" t="s">
        <v>1081</v>
      </c>
      <c r="B279" s="8" t="s">
        <v>1082</v>
      </c>
      <c r="C279" s="8" t="s">
        <v>1083</v>
      </c>
      <c r="D279" s="8" t="s">
        <v>1084</v>
      </c>
      <c r="E279" s="8" t="s">
        <v>34</v>
      </c>
      <c r="F279" s="8" t="s">
        <v>372</v>
      </c>
      <c r="G279" s="8" t="s">
        <v>326</v>
      </c>
      <c r="H279" s="8" t="s">
        <v>45</v>
      </c>
      <c r="I279" s="8" t="s">
        <v>138</v>
      </c>
      <c r="J279" s="8" t="s">
        <v>29</v>
      </c>
      <c r="K279" s="8" t="n">
        <v>4</v>
      </c>
      <c r="L279" s="8" t="n">
        <v>557.67</v>
      </c>
      <c r="M279" s="8" t="n">
        <v>0.05</v>
      </c>
      <c r="N279" s="8" t="n">
        <v>2119.15</v>
      </c>
      <c r="O279" s="8" t="n">
        <v>-17.8</v>
      </c>
    </row>
    <row r="280" customFormat="false" ht="15" hidden="false" customHeight="true" outlineLevel="0" collapsed="false">
      <c r="A280" s="8" t="s">
        <v>1085</v>
      </c>
      <c r="B280" s="8" t="s">
        <v>532</v>
      </c>
      <c r="C280" s="8" t="s">
        <v>1086</v>
      </c>
      <c r="D280" s="8" t="s">
        <v>1087</v>
      </c>
      <c r="E280" s="8"/>
      <c r="F280" s="8" t="s">
        <v>173</v>
      </c>
      <c r="G280" s="8" t="s">
        <v>102</v>
      </c>
      <c r="H280" s="8" t="s">
        <v>245</v>
      </c>
      <c r="I280" s="8" t="s">
        <v>115</v>
      </c>
      <c r="J280" s="8" t="s">
        <v>64</v>
      </c>
      <c r="K280" s="8" t="n">
        <v>4</v>
      </c>
      <c r="L280" s="8" t="n">
        <v>554.08</v>
      </c>
      <c r="M280" s="8"/>
      <c r="N280" s="8" t="n">
        <v>2216.32</v>
      </c>
      <c r="O280" s="8" t="n">
        <v>738.37</v>
      </c>
    </row>
    <row r="281" customFormat="false" ht="15" hidden="false" customHeight="true" outlineLevel="0" collapsed="false">
      <c r="A281" s="8" t="s">
        <v>1088</v>
      </c>
      <c r="B281" s="8" t="s">
        <v>1089</v>
      </c>
      <c r="C281" s="8" t="s">
        <v>1090</v>
      </c>
      <c r="D281" s="8" t="s">
        <v>1091</v>
      </c>
      <c r="E281" s="8" t="s">
        <v>34</v>
      </c>
      <c r="F281" s="8" t="s">
        <v>200</v>
      </c>
      <c r="G281" s="8" t="s">
        <v>82</v>
      </c>
      <c r="H281" s="8" t="s">
        <v>83</v>
      </c>
      <c r="I281" s="8" t="s">
        <v>84</v>
      </c>
      <c r="J281" s="8" t="s">
        <v>47</v>
      </c>
      <c r="K281" s="8" t="n">
        <v>5</v>
      </c>
      <c r="L281" s="8" t="n">
        <v>369.93</v>
      </c>
      <c r="M281" s="8" t="n">
        <v>0.2</v>
      </c>
      <c r="N281" s="8" t="n">
        <v>1479.72</v>
      </c>
      <c r="O281" s="8" t="n">
        <v>11.75</v>
      </c>
    </row>
    <row r="282" customFormat="false" ht="15" hidden="false" customHeight="true" outlineLevel="0" collapsed="false">
      <c r="A282" s="8" t="s">
        <v>1092</v>
      </c>
      <c r="B282" s="8" t="s">
        <v>1093</v>
      </c>
      <c r="C282" s="8" t="s">
        <v>1094</v>
      </c>
      <c r="D282" s="8" t="s">
        <v>1095</v>
      </c>
      <c r="E282" s="8" t="s">
        <v>52</v>
      </c>
      <c r="F282" s="8" t="s">
        <v>372</v>
      </c>
      <c r="G282" s="8" t="s">
        <v>54</v>
      </c>
      <c r="H282" s="8" t="s">
        <v>245</v>
      </c>
      <c r="I282" s="8" t="s">
        <v>109</v>
      </c>
      <c r="J282" s="8" t="s">
        <v>47</v>
      </c>
      <c r="K282" s="8" t="n">
        <v>3</v>
      </c>
      <c r="L282" s="8" t="n">
        <v>213.11</v>
      </c>
      <c r="M282" s="8" t="n">
        <v>0.1</v>
      </c>
      <c r="N282" s="8" t="n">
        <v>575.4</v>
      </c>
      <c r="O282" s="8" t="n">
        <v>-52.1</v>
      </c>
    </row>
    <row r="283" customFormat="false" ht="15" hidden="false" customHeight="true" outlineLevel="0" collapsed="false">
      <c r="A283" s="8" t="s">
        <v>1096</v>
      </c>
      <c r="B283" s="8" t="s">
        <v>1097</v>
      </c>
      <c r="C283" s="8" t="s">
        <v>1098</v>
      </c>
      <c r="D283" s="8" t="s">
        <v>1099</v>
      </c>
      <c r="E283" s="8"/>
      <c r="F283" s="8" t="s">
        <v>94</v>
      </c>
      <c r="G283" s="8" t="s">
        <v>326</v>
      </c>
      <c r="H283" s="8" t="s">
        <v>27</v>
      </c>
      <c r="I283" s="8" t="s">
        <v>138</v>
      </c>
      <c r="J283" s="8" t="s">
        <v>47</v>
      </c>
      <c r="K283" s="8" t="n">
        <v>1</v>
      </c>
      <c r="L283" s="8" t="n">
        <v>550.47</v>
      </c>
      <c r="M283" s="8"/>
      <c r="N283" s="8" t="n">
        <v>550.47</v>
      </c>
      <c r="O283" s="8" t="n">
        <v>146.84</v>
      </c>
    </row>
    <row r="284" customFormat="false" ht="15" hidden="false" customHeight="true" outlineLevel="0" collapsed="false">
      <c r="A284" s="8" t="s">
        <v>1100</v>
      </c>
      <c r="B284" s="8" t="s">
        <v>1101</v>
      </c>
      <c r="C284" s="8" t="s">
        <v>1102</v>
      </c>
      <c r="D284" s="8" t="s">
        <v>1103</v>
      </c>
      <c r="E284" s="8" t="s">
        <v>34</v>
      </c>
      <c r="F284" s="8" t="s">
        <v>61</v>
      </c>
      <c r="G284" s="8" t="s">
        <v>76</v>
      </c>
      <c r="H284" s="8" t="s">
        <v>155</v>
      </c>
      <c r="I284" s="8" t="s">
        <v>149</v>
      </c>
      <c r="J284" s="8" t="s">
        <v>29</v>
      </c>
      <c r="K284" s="8" t="n">
        <v>2</v>
      </c>
      <c r="L284" s="8" t="n">
        <v>391.77</v>
      </c>
      <c r="M284" s="8"/>
      <c r="N284" s="8" t="n">
        <v>783.54</v>
      </c>
      <c r="O284" s="8" t="n">
        <v>261.11</v>
      </c>
    </row>
    <row r="285" customFormat="false" ht="15" hidden="false" customHeight="true" outlineLevel="0" collapsed="false">
      <c r="A285" s="8" t="s">
        <v>1104</v>
      </c>
      <c r="B285" s="8" t="s">
        <v>1094</v>
      </c>
      <c r="C285" s="8" t="s">
        <v>1105</v>
      </c>
      <c r="D285" s="8" t="s">
        <v>1106</v>
      </c>
      <c r="E285" s="8" t="s">
        <v>34</v>
      </c>
      <c r="F285" s="8" t="s">
        <v>126</v>
      </c>
      <c r="G285" s="8" t="s">
        <v>26</v>
      </c>
      <c r="H285" s="8" t="s">
        <v>191</v>
      </c>
      <c r="I285" s="8" t="s">
        <v>127</v>
      </c>
      <c r="J285" s="8" t="s">
        <v>39</v>
      </c>
      <c r="K285" s="8"/>
      <c r="L285" s="8" t="n">
        <v>192.58</v>
      </c>
      <c r="M285" s="8"/>
      <c r="N285" s="8" t="n">
        <v>192.58</v>
      </c>
      <c r="O285" s="8" t="n">
        <v>31.02</v>
      </c>
    </row>
    <row r="286" customFormat="false" ht="15" hidden="false" customHeight="true" outlineLevel="0" collapsed="false">
      <c r="A286" s="8" t="s">
        <v>1107</v>
      </c>
      <c r="B286" s="8" t="s">
        <v>1108</v>
      </c>
      <c r="C286" s="8" t="s">
        <v>1109</v>
      </c>
      <c r="D286" s="8" t="s">
        <v>1110</v>
      </c>
      <c r="E286" s="8" t="s">
        <v>34</v>
      </c>
      <c r="F286" s="8" t="s">
        <v>53</v>
      </c>
      <c r="G286" s="8" t="s">
        <v>54</v>
      </c>
      <c r="H286" s="8" t="s">
        <v>132</v>
      </c>
      <c r="I286" s="8" t="s">
        <v>241</v>
      </c>
      <c r="J286" s="8" t="s">
        <v>29</v>
      </c>
      <c r="K286" s="8" t="n">
        <v>3</v>
      </c>
      <c r="L286" s="8" t="n">
        <v>297.65</v>
      </c>
      <c r="M286" s="8" t="n">
        <v>0.05</v>
      </c>
      <c r="N286" s="8" t="n">
        <v>848.3</v>
      </c>
      <c r="O286" s="8" t="n">
        <v>3.98</v>
      </c>
    </row>
    <row r="287" customFormat="false" ht="15" hidden="false" customHeight="true" outlineLevel="0" collapsed="false">
      <c r="A287" s="8" t="s">
        <v>1111</v>
      </c>
      <c r="B287" s="8" t="s">
        <v>1112</v>
      </c>
      <c r="C287" s="8" t="s">
        <v>1113</v>
      </c>
      <c r="D287" s="8" t="s">
        <v>1114</v>
      </c>
      <c r="E287" s="8"/>
      <c r="F287" s="8" t="s">
        <v>126</v>
      </c>
      <c r="G287" s="8" t="s">
        <v>89</v>
      </c>
      <c r="H287" s="8" t="s">
        <v>77</v>
      </c>
      <c r="I287" s="8" t="s">
        <v>121</v>
      </c>
      <c r="J287" s="8" t="s">
        <v>29</v>
      </c>
      <c r="K287" s="8" t="n">
        <v>4</v>
      </c>
      <c r="L287" s="8" t="n">
        <v>111.73</v>
      </c>
      <c r="M287" s="8" t="n">
        <v>0.2</v>
      </c>
      <c r="N287" s="8" t="n">
        <v>357.54</v>
      </c>
      <c r="O287" s="8"/>
    </row>
    <row r="288" customFormat="false" ht="15" hidden="false" customHeight="true" outlineLevel="0" collapsed="false">
      <c r="A288" s="8" t="s">
        <v>1115</v>
      </c>
      <c r="B288" s="8" t="s">
        <v>944</v>
      </c>
      <c r="C288" s="8" t="s">
        <v>1116</v>
      </c>
      <c r="D288" s="8" t="s">
        <v>1117</v>
      </c>
      <c r="E288" s="8"/>
      <c r="F288" s="8" t="s">
        <v>25</v>
      </c>
      <c r="G288" s="8" t="s">
        <v>89</v>
      </c>
      <c r="H288" s="8" t="s">
        <v>77</v>
      </c>
      <c r="I288" s="8" t="s">
        <v>78</v>
      </c>
      <c r="J288" s="8" t="s">
        <v>47</v>
      </c>
      <c r="K288" s="8" t="n">
        <v>1</v>
      </c>
      <c r="L288" s="8" t="n">
        <v>569.04</v>
      </c>
      <c r="M288" s="8" t="n">
        <v>0.2</v>
      </c>
      <c r="N288" s="8" t="n">
        <v>455.23</v>
      </c>
      <c r="O288" s="8" t="n">
        <v>121.31</v>
      </c>
    </row>
    <row r="289" customFormat="false" ht="15" hidden="false" customHeight="true" outlineLevel="0" collapsed="false">
      <c r="A289" s="8" t="s">
        <v>1118</v>
      </c>
      <c r="B289" s="8" t="s">
        <v>1119</v>
      </c>
      <c r="C289" s="8" t="s">
        <v>445</v>
      </c>
      <c r="D289" s="8" t="s">
        <v>1120</v>
      </c>
      <c r="E289" s="8" t="s">
        <v>52</v>
      </c>
      <c r="F289" s="8" t="s">
        <v>94</v>
      </c>
      <c r="G289" s="8" t="s">
        <v>215</v>
      </c>
      <c r="H289" s="8" t="s">
        <v>103</v>
      </c>
      <c r="I289" s="8" t="s">
        <v>63</v>
      </c>
      <c r="J289" s="8" t="s">
        <v>64</v>
      </c>
      <c r="K289" s="8" t="n">
        <v>2</v>
      </c>
      <c r="L289" s="8" t="n">
        <v>193.86</v>
      </c>
      <c r="M289" s="8" t="n">
        <v>0</v>
      </c>
      <c r="N289" s="8" t="n">
        <v>387.72</v>
      </c>
      <c r="O289" s="8" t="n">
        <v>-4.1</v>
      </c>
    </row>
    <row r="290" customFormat="false" ht="15" hidden="false" customHeight="true" outlineLevel="0" collapsed="false">
      <c r="A290" s="8" t="s">
        <v>1121</v>
      </c>
      <c r="B290" s="8" t="s">
        <v>1122</v>
      </c>
      <c r="C290" s="8" t="s">
        <v>579</v>
      </c>
      <c r="D290" s="8" t="s">
        <v>1123</v>
      </c>
      <c r="E290" s="8" t="s">
        <v>24</v>
      </c>
      <c r="F290" s="8" t="s">
        <v>53</v>
      </c>
      <c r="G290" s="8" t="s">
        <v>215</v>
      </c>
      <c r="H290" s="8" t="s">
        <v>142</v>
      </c>
      <c r="I290" s="8" t="s">
        <v>38</v>
      </c>
      <c r="J290" s="8" t="s">
        <v>47</v>
      </c>
      <c r="K290" s="8" t="n">
        <v>1</v>
      </c>
      <c r="L290" s="8" t="n">
        <v>491.77</v>
      </c>
      <c r="M290" s="8"/>
      <c r="N290" s="8" t="n">
        <v>491.77</v>
      </c>
      <c r="O290" s="8" t="n">
        <v>135.56</v>
      </c>
    </row>
    <row r="291" customFormat="false" ht="15" hidden="false" customHeight="true" outlineLevel="0" collapsed="false">
      <c r="A291" s="8" t="s">
        <v>1124</v>
      </c>
      <c r="B291" s="8" t="s">
        <v>1125</v>
      </c>
      <c r="C291" s="8" t="s">
        <v>66</v>
      </c>
      <c r="D291" s="8" t="s">
        <v>1126</v>
      </c>
      <c r="E291" s="8" t="s">
        <v>52</v>
      </c>
      <c r="F291" s="8" t="s">
        <v>61</v>
      </c>
      <c r="G291" s="8" t="s">
        <v>36</v>
      </c>
      <c r="H291" s="8" t="s">
        <v>206</v>
      </c>
      <c r="I291" s="8" t="s">
        <v>527</v>
      </c>
      <c r="J291" s="8" t="s">
        <v>39</v>
      </c>
      <c r="K291" s="8"/>
      <c r="L291" s="8" t="n">
        <v>917.41</v>
      </c>
      <c r="M291" s="8" t="n">
        <v>0.1</v>
      </c>
      <c r="N291" s="8" t="n">
        <v>825.67</v>
      </c>
      <c r="O291" s="8" t="n">
        <v>97.3</v>
      </c>
    </row>
    <row r="292" customFormat="false" ht="15" hidden="false" customHeight="true" outlineLevel="0" collapsed="false">
      <c r="A292" s="8" t="s">
        <v>1127</v>
      </c>
      <c r="B292" s="8" t="s">
        <v>1128</v>
      </c>
      <c r="C292" s="8" t="s">
        <v>1129</v>
      </c>
      <c r="D292" s="8"/>
      <c r="E292" s="8" t="s">
        <v>52</v>
      </c>
      <c r="F292" s="8" t="s">
        <v>61</v>
      </c>
      <c r="G292" s="8" t="s">
        <v>36</v>
      </c>
      <c r="H292" s="8" t="s">
        <v>359</v>
      </c>
      <c r="I292" s="8" t="s">
        <v>63</v>
      </c>
      <c r="J292" s="8" t="s">
        <v>47</v>
      </c>
      <c r="K292" s="8" t="n">
        <v>2</v>
      </c>
      <c r="L292" s="8" t="n">
        <v>77.67</v>
      </c>
      <c r="M292" s="8"/>
      <c r="N292" s="8" t="n">
        <v>155.34</v>
      </c>
      <c r="O292" s="8" t="n">
        <v>34.68</v>
      </c>
    </row>
    <row r="293" customFormat="false" ht="15" hidden="false" customHeight="true" outlineLevel="0" collapsed="false">
      <c r="A293" s="8" t="s">
        <v>1130</v>
      </c>
      <c r="B293" s="8" t="s">
        <v>688</v>
      </c>
      <c r="C293" s="8" t="s">
        <v>1131</v>
      </c>
      <c r="D293" s="8" t="s">
        <v>224</v>
      </c>
      <c r="E293" s="8" t="s">
        <v>24</v>
      </c>
      <c r="F293" s="8" t="s">
        <v>126</v>
      </c>
      <c r="G293" s="8" t="s">
        <v>26</v>
      </c>
      <c r="H293" s="8" t="s">
        <v>77</v>
      </c>
      <c r="I293" s="8" t="s">
        <v>127</v>
      </c>
      <c r="J293" s="8" t="s">
        <v>29</v>
      </c>
      <c r="K293" s="8" t="n">
        <v>1</v>
      </c>
      <c r="L293" s="8" t="n">
        <v>196.57</v>
      </c>
      <c r="M293" s="8" t="n">
        <v>0.05</v>
      </c>
      <c r="N293" s="8" t="n">
        <v>186.74</v>
      </c>
      <c r="O293" s="8" t="n">
        <v>44.44</v>
      </c>
    </row>
    <row r="294" customFormat="false" ht="15" hidden="false" customHeight="true" outlineLevel="0" collapsed="false">
      <c r="A294" s="8" t="s">
        <v>1132</v>
      </c>
      <c r="B294" s="8" t="s">
        <v>1133</v>
      </c>
      <c r="C294" s="8" t="s">
        <v>728</v>
      </c>
      <c r="D294" s="8" t="s">
        <v>986</v>
      </c>
      <c r="E294" s="8" t="s">
        <v>52</v>
      </c>
      <c r="F294" s="8" t="s">
        <v>53</v>
      </c>
      <c r="G294" s="8" t="s">
        <v>326</v>
      </c>
      <c r="H294" s="8" t="s">
        <v>132</v>
      </c>
      <c r="I294" s="8" t="s">
        <v>133</v>
      </c>
      <c r="J294" s="8" t="s">
        <v>47</v>
      </c>
      <c r="K294" s="8" t="n">
        <v>2</v>
      </c>
      <c r="L294" s="8" t="n">
        <v>754.8</v>
      </c>
      <c r="M294" s="8"/>
      <c r="N294" s="8" t="n">
        <v>1509.6</v>
      </c>
      <c r="O294" s="8" t="n">
        <v>433.78</v>
      </c>
    </row>
    <row r="295" customFormat="false" ht="15" hidden="false" customHeight="true" outlineLevel="0" collapsed="false">
      <c r="A295" s="8" t="s">
        <v>1134</v>
      </c>
      <c r="B295" s="8" t="s">
        <v>1135</v>
      </c>
      <c r="C295" s="8" t="s">
        <v>324</v>
      </c>
      <c r="D295" s="8" t="s">
        <v>1136</v>
      </c>
      <c r="E295" s="8" t="s">
        <v>24</v>
      </c>
      <c r="F295" s="8" t="s">
        <v>61</v>
      </c>
      <c r="G295" s="8" t="s">
        <v>76</v>
      </c>
      <c r="H295" s="8" t="s">
        <v>114</v>
      </c>
      <c r="I295" s="8" t="s">
        <v>201</v>
      </c>
      <c r="J295" s="8" t="s">
        <v>39</v>
      </c>
      <c r="K295" s="8" t="n">
        <v>2</v>
      </c>
      <c r="L295" s="8" t="n">
        <v>423.65</v>
      </c>
      <c r="M295" s="8" t="n">
        <v>0.1</v>
      </c>
      <c r="N295" s="8" t="n">
        <v>762.57</v>
      </c>
      <c r="O295" s="8" t="n">
        <v>36.25</v>
      </c>
    </row>
    <row r="296" customFormat="false" ht="15" hidden="false" customHeight="true" outlineLevel="0" collapsed="false">
      <c r="A296" s="8" t="s">
        <v>1137</v>
      </c>
      <c r="B296" s="8" t="s">
        <v>1098</v>
      </c>
      <c r="C296" s="8" t="s">
        <v>1138</v>
      </c>
      <c r="D296" s="8" t="s">
        <v>1139</v>
      </c>
      <c r="E296" s="8" t="s">
        <v>34</v>
      </c>
      <c r="F296" s="8" t="s">
        <v>154</v>
      </c>
      <c r="G296" s="8" t="s">
        <v>182</v>
      </c>
      <c r="H296" s="8" t="s">
        <v>27</v>
      </c>
      <c r="I296" s="8" t="s">
        <v>46</v>
      </c>
      <c r="J296" s="8" t="s">
        <v>47</v>
      </c>
      <c r="K296" s="8" t="n">
        <v>2</v>
      </c>
      <c r="L296" s="8" t="n">
        <v>809.65</v>
      </c>
      <c r="M296" s="8" t="n">
        <v>0.1</v>
      </c>
      <c r="N296" s="8" t="n">
        <v>1457.37</v>
      </c>
      <c r="O296" s="8" t="n">
        <v>-3331.2</v>
      </c>
    </row>
    <row r="297" customFormat="false" ht="15" hidden="false" customHeight="true" outlineLevel="0" collapsed="false">
      <c r="A297" s="8" t="s">
        <v>1140</v>
      </c>
      <c r="B297" s="8" t="s">
        <v>552</v>
      </c>
      <c r="C297" s="8" t="s">
        <v>1141</v>
      </c>
      <c r="D297" s="8" t="s">
        <v>1142</v>
      </c>
      <c r="E297" s="8"/>
      <c r="F297" s="8" t="s">
        <v>44</v>
      </c>
      <c r="G297" s="8" t="s">
        <v>62</v>
      </c>
      <c r="H297" s="8" t="s">
        <v>27</v>
      </c>
      <c r="I297" s="8" t="s">
        <v>46</v>
      </c>
      <c r="J297" s="8" t="s">
        <v>47</v>
      </c>
      <c r="K297" s="8" t="n">
        <v>2</v>
      </c>
      <c r="L297" s="8" t="n">
        <v>1149.02</v>
      </c>
      <c r="M297" s="8" t="n">
        <v>0.1</v>
      </c>
      <c r="N297" s="8" t="n">
        <v>2068.24</v>
      </c>
      <c r="O297" s="8" t="n">
        <v>239.73</v>
      </c>
    </row>
    <row r="298" customFormat="false" ht="15" hidden="false" customHeight="true" outlineLevel="0" collapsed="false">
      <c r="A298" s="8" t="s">
        <v>1143</v>
      </c>
      <c r="B298" s="8" t="s">
        <v>1144</v>
      </c>
      <c r="C298" s="8" t="s">
        <v>1145</v>
      </c>
      <c r="D298" s="8" t="s">
        <v>500</v>
      </c>
      <c r="E298" s="8" t="s">
        <v>34</v>
      </c>
      <c r="F298" s="8" t="s">
        <v>44</v>
      </c>
      <c r="G298" s="8" t="s">
        <v>36</v>
      </c>
      <c r="H298" s="8" t="s">
        <v>142</v>
      </c>
      <c r="I298" s="8" t="s">
        <v>527</v>
      </c>
      <c r="J298" s="8" t="s">
        <v>47</v>
      </c>
      <c r="K298" s="8" t="n">
        <v>3</v>
      </c>
      <c r="L298" s="8" t="n">
        <v>310.15</v>
      </c>
      <c r="M298" s="8"/>
      <c r="N298" s="8" t="n">
        <v>930.45</v>
      </c>
      <c r="O298" s="8" t="n">
        <v>-67.8</v>
      </c>
    </row>
    <row r="299" customFormat="false" ht="15" hidden="false" customHeight="true" outlineLevel="0" collapsed="false">
      <c r="A299" s="8" t="s">
        <v>1146</v>
      </c>
      <c r="B299" s="8" t="s">
        <v>1147</v>
      </c>
      <c r="C299" s="8" t="s">
        <v>379</v>
      </c>
      <c r="D299" s="8" t="s">
        <v>1148</v>
      </c>
      <c r="E299" s="8" t="s">
        <v>52</v>
      </c>
      <c r="F299" s="8" t="s">
        <v>372</v>
      </c>
      <c r="G299" s="8" t="s">
        <v>326</v>
      </c>
      <c r="H299" s="8" t="s">
        <v>45</v>
      </c>
      <c r="I299" s="8" t="s">
        <v>149</v>
      </c>
      <c r="J299" s="8" t="s">
        <v>47</v>
      </c>
      <c r="K299" s="8" t="n">
        <v>1</v>
      </c>
      <c r="L299" s="8" t="n">
        <v>1020.24</v>
      </c>
      <c r="M299" s="8"/>
      <c r="N299" s="8" t="n">
        <v>1020.24</v>
      </c>
      <c r="O299" s="8" t="n">
        <v>269.03</v>
      </c>
    </row>
    <row r="300" customFormat="false" ht="15" hidden="false" customHeight="true" outlineLevel="0" collapsed="false">
      <c r="A300" s="8" t="s">
        <v>1149</v>
      </c>
      <c r="B300" s="8" t="s">
        <v>141</v>
      </c>
      <c r="C300" s="8" t="s">
        <v>1150</v>
      </c>
      <c r="D300" s="8" t="s">
        <v>785</v>
      </c>
      <c r="E300" s="8" t="s">
        <v>24</v>
      </c>
      <c r="F300" s="8" t="s">
        <v>101</v>
      </c>
      <c r="G300" s="8" t="s">
        <v>119</v>
      </c>
      <c r="H300" s="8" t="s">
        <v>142</v>
      </c>
      <c r="I300" s="8" t="s">
        <v>404</v>
      </c>
      <c r="J300" s="8" t="s">
        <v>29</v>
      </c>
      <c r="K300" s="8" t="n">
        <v>5</v>
      </c>
      <c r="L300" s="8" t="n">
        <v>734.92</v>
      </c>
      <c r="M300" s="8" t="n">
        <v>0.1</v>
      </c>
      <c r="N300" s="8" t="n">
        <v>3307.14</v>
      </c>
      <c r="O300" s="8" t="n">
        <v>565.06</v>
      </c>
    </row>
    <row r="301" customFormat="false" ht="15" hidden="false" customHeight="true" outlineLevel="0" collapsed="false">
      <c r="A301" s="8" t="s">
        <v>1151</v>
      </c>
      <c r="B301" s="8" t="s">
        <v>422</v>
      </c>
      <c r="C301" s="8" t="s">
        <v>1152</v>
      </c>
      <c r="D301" s="8" t="s">
        <v>1153</v>
      </c>
      <c r="E301" s="8" t="s">
        <v>52</v>
      </c>
      <c r="F301" s="8" t="s">
        <v>101</v>
      </c>
      <c r="G301" s="8" t="s">
        <v>119</v>
      </c>
      <c r="H301" s="8" t="s">
        <v>132</v>
      </c>
      <c r="I301" s="8" t="s">
        <v>220</v>
      </c>
      <c r="J301" s="8" t="s">
        <v>29</v>
      </c>
      <c r="K301" s="8" t="n">
        <v>2</v>
      </c>
      <c r="L301" s="8" t="n">
        <v>948.08</v>
      </c>
      <c r="M301" s="8" t="n">
        <v>0.2</v>
      </c>
      <c r="N301" s="8" t="n">
        <v>1516.93</v>
      </c>
      <c r="O301" s="8" t="n">
        <v>-138.67</v>
      </c>
    </row>
    <row r="302" customFormat="false" ht="15" hidden="false" customHeight="true" outlineLevel="0" collapsed="false">
      <c r="A302" s="8" t="s">
        <v>1154</v>
      </c>
      <c r="B302" s="8" t="s">
        <v>283</v>
      </c>
      <c r="C302" s="8" t="s">
        <v>1155</v>
      </c>
      <c r="D302" s="8"/>
      <c r="E302" s="8"/>
      <c r="F302" s="8" t="s">
        <v>147</v>
      </c>
      <c r="G302" s="8" t="s">
        <v>215</v>
      </c>
      <c r="H302" s="8" t="s">
        <v>70</v>
      </c>
      <c r="I302" s="8" t="s">
        <v>71</v>
      </c>
      <c r="J302" s="8" t="s">
        <v>29</v>
      </c>
      <c r="K302" s="8"/>
      <c r="L302" s="8" t="n">
        <v>1041.7</v>
      </c>
      <c r="M302" s="8"/>
      <c r="N302" s="8" t="n">
        <v>1041.7</v>
      </c>
      <c r="O302" s="8" t="n">
        <v>-11.06</v>
      </c>
    </row>
    <row r="303" customFormat="false" ht="15" hidden="false" customHeight="true" outlineLevel="0" collapsed="false">
      <c r="A303" s="8" t="s">
        <v>1156</v>
      </c>
      <c r="B303" s="8" t="s">
        <v>1157</v>
      </c>
      <c r="C303" s="8" t="s">
        <v>1158</v>
      </c>
      <c r="D303" s="8"/>
      <c r="E303" s="8" t="s">
        <v>24</v>
      </c>
      <c r="F303" s="8" t="s">
        <v>372</v>
      </c>
      <c r="G303" s="8" t="s">
        <v>215</v>
      </c>
      <c r="H303" s="8" t="s">
        <v>280</v>
      </c>
      <c r="I303" s="8" t="s">
        <v>96</v>
      </c>
      <c r="J303" s="8" t="s">
        <v>29</v>
      </c>
      <c r="K303" s="8" t="n">
        <v>3</v>
      </c>
      <c r="L303" s="8" t="n">
        <v>1102.48</v>
      </c>
      <c r="M303" s="8" t="n">
        <v>0.2</v>
      </c>
      <c r="N303" s="8" t="n">
        <v>2645.95</v>
      </c>
      <c r="O303" s="8" t="n">
        <v>-167.19</v>
      </c>
    </row>
    <row r="304" customFormat="false" ht="15" hidden="false" customHeight="true" outlineLevel="0" collapsed="false">
      <c r="A304" s="8" t="s">
        <v>1159</v>
      </c>
      <c r="B304" s="8" t="s">
        <v>1160</v>
      </c>
      <c r="C304" s="8" t="s">
        <v>1161</v>
      </c>
      <c r="D304" s="8" t="s">
        <v>1162</v>
      </c>
      <c r="E304" s="8" t="s">
        <v>24</v>
      </c>
      <c r="F304" s="8" t="s">
        <v>53</v>
      </c>
      <c r="G304" s="8" t="s">
        <v>215</v>
      </c>
      <c r="H304" s="8" t="s">
        <v>70</v>
      </c>
      <c r="I304" s="8" t="s">
        <v>71</v>
      </c>
      <c r="J304" s="8" t="s">
        <v>29</v>
      </c>
      <c r="K304" s="8" t="n">
        <v>4</v>
      </c>
      <c r="L304" s="8" t="n">
        <v>1166.59</v>
      </c>
      <c r="M304" s="8" t="n">
        <v>0.15</v>
      </c>
      <c r="N304" s="8" t="n">
        <v>3966.41</v>
      </c>
      <c r="O304" s="8" t="n">
        <v>-379.93</v>
      </c>
    </row>
    <row r="305" customFormat="false" ht="15" hidden="false" customHeight="true" outlineLevel="0" collapsed="false">
      <c r="A305" s="8" t="s">
        <v>1163</v>
      </c>
      <c r="B305" s="8" t="s">
        <v>751</v>
      </c>
      <c r="C305" s="8" t="s">
        <v>1164</v>
      </c>
      <c r="D305" s="8" t="s">
        <v>1165</v>
      </c>
      <c r="E305" s="8" t="s">
        <v>52</v>
      </c>
      <c r="F305" s="8" t="s">
        <v>173</v>
      </c>
      <c r="G305" s="8" t="s">
        <v>182</v>
      </c>
      <c r="H305" s="8" t="s">
        <v>83</v>
      </c>
      <c r="I305" s="8" t="s">
        <v>84</v>
      </c>
      <c r="J305" s="8" t="s">
        <v>39</v>
      </c>
      <c r="K305" s="8" t="n">
        <v>3</v>
      </c>
      <c r="L305" s="8" t="n">
        <v>856.72</v>
      </c>
      <c r="M305" s="8"/>
      <c r="N305" s="8" t="n">
        <v>2570.16</v>
      </c>
      <c r="O305" s="8"/>
    </row>
    <row r="306" customFormat="false" ht="15" hidden="false" customHeight="true" outlineLevel="0" collapsed="false">
      <c r="A306" s="8" t="s">
        <v>1166</v>
      </c>
      <c r="B306" s="8" t="s">
        <v>698</v>
      </c>
      <c r="C306" s="8" t="s">
        <v>1167</v>
      </c>
      <c r="D306" s="8" t="s">
        <v>1168</v>
      </c>
      <c r="E306" s="8"/>
      <c r="F306" s="8" t="s">
        <v>154</v>
      </c>
      <c r="G306" s="8" t="s">
        <v>182</v>
      </c>
      <c r="H306" s="8" t="s">
        <v>70</v>
      </c>
      <c r="I306" s="8" t="s">
        <v>121</v>
      </c>
      <c r="J306" s="8" t="s">
        <v>47</v>
      </c>
      <c r="K306" s="8" t="n">
        <v>1</v>
      </c>
      <c r="L306" s="8" t="n">
        <v>373.37</v>
      </c>
      <c r="M306" s="8"/>
      <c r="N306" s="8" t="n">
        <v>373.37</v>
      </c>
      <c r="O306" s="8" t="n">
        <v>88.59</v>
      </c>
    </row>
    <row r="307" customFormat="false" ht="15" hidden="false" customHeight="true" outlineLevel="0" collapsed="false">
      <c r="A307" s="8" t="s">
        <v>1169</v>
      </c>
      <c r="B307" s="8" t="s">
        <v>1170</v>
      </c>
      <c r="C307" s="8" t="s">
        <v>1171</v>
      </c>
      <c r="D307" s="8" t="s">
        <v>685</v>
      </c>
      <c r="E307" s="8" t="s">
        <v>34</v>
      </c>
      <c r="F307" s="8" t="s">
        <v>44</v>
      </c>
      <c r="G307" s="8" t="s">
        <v>36</v>
      </c>
      <c r="H307" s="8" t="s">
        <v>245</v>
      </c>
      <c r="I307" s="8" t="s">
        <v>297</v>
      </c>
      <c r="J307" s="8" t="s">
        <v>29</v>
      </c>
      <c r="K307" s="8" t="n">
        <v>2</v>
      </c>
      <c r="L307" s="8" t="n">
        <v>197.34</v>
      </c>
      <c r="M307" s="8" t="n">
        <v>0.05</v>
      </c>
      <c r="N307" s="8" t="n">
        <v>374.95</v>
      </c>
      <c r="O307" s="8" t="n">
        <v>40.33</v>
      </c>
    </row>
    <row r="308" customFormat="false" ht="15" hidden="false" customHeight="true" outlineLevel="0" collapsed="false">
      <c r="A308" s="8" t="s">
        <v>1172</v>
      </c>
      <c r="B308" s="8" t="s">
        <v>1173</v>
      </c>
      <c r="C308" s="8" t="s">
        <v>725</v>
      </c>
      <c r="D308" s="8" t="s">
        <v>1174</v>
      </c>
      <c r="E308" s="8" t="s">
        <v>24</v>
      </c>
      <c r="F308" s="8" t="s">
        <v>154</v>
      </c>
      <c r="G308" s="8" t="s">
        <v>119</v>
      </c>
      <c r="H308" s="8" t="s">
        <v>114</v>
      </c>
      <c r="I308" s="8" t="s">
        <v>297</v>
      </c>
      <c r="J308" s="8" t="s">
        <v>29</v>
      </c>
      <c r="K308" s="8" t="n">
        <v>2</v>
      </c>
      <c r="L308" s="8" t="n">
        <v>548.7</v>
      </c>
      <c r="M308" s="8" t="n">
        <v>0.2</v>
      </c>
      <c r="N308" s="8" t="n">
        <v>877.92</v>
      </c>
      <c r="O308" s="8" t="n">
        <v>180.99</v>
      </c>
    </row>
    <row r="309" customFormat="false" ht="15" hidden="false" customHeight="true" outlineLevel="0" collapsed="false">
      <c r="A309" s="8" t="s">
        <v>1175</v>
      </c>
      <c r="B309" s="8" t="s">
        <v>1176</v>
      </c>
      <c r="C309" s="8" t="s">
        <v>1177</v>
      </c>
      <c r="D309" s="8" t="s">
        <v>1178</v>
      </c>
      <c r="E309" s="8" t="s">
        <v>24</v>
      </c>
      <c r="F309" s="8" t="s">
        <v>126</v>
      </c>
      <c r="G309" s="8" t="s">
        <v>82</v>
      </c>
      <c r="H309" s="8" t="s">
        <v>148</v>
      </c>
      <c r="I309" s="8" t="s">
        <v>160</v>
      </c>
      <c r="J309" s="8" t="s">
        <v>29</v>
      </c>
      <c r="K309" s="8" t="n">
        <v>5</v>
      </c>
      <c r="L309" s="8" t="n">
        <v>810.72</v>
      </c>
      <c r="M309" s="8"/>
      <c r="N309" s="8" t="n">
        <v>4053.6</v>
      </c>
      <c r="O309" s="8" t="n">
        <v>817.26</v>
      </c>
    </row>
    <row r="310" customFormat="false" ht="15" hidden="false" customHeight="true" outlineLevel="0" collapsed="false">
      <c r="A310" s="8" t="s">
        <v>1179</v>
      </c>
      <c r="B310" s="8" t="s">
        <v>1180</v>
      </c>
      <c r="C310" s="8" t="s">
        <v>1181</v>
      </c>
      <c r="D310" s="8" t="s">
        <v>1182</v>
      </c>
      <c r="E310" s="8"/>
      <c r="F310" s="8" t="s">
        <v>61</v>
      </c>
      <c r="G310" s="8" t="s">
        <v>76</v>
      </c>
      <c r="H310" s="8" t="s">
        <v>83</v>
      </c>
      <c r="I310" s="8" t="s">
        <v>527</v>
      </c>
      <c r="J310" s="8" t="s">
        <v>47</v>
      </c>
      <c r="K310" s="8" t="n">
        <v>1</v>
      </c>
      <c r="L310" s="8" t="n">
        <v>78.64</v>
      </c>
      <c r="M310" s="8" t="n">
        <v>0.15</v>
      </c>
      <c r="N310" s="8" t="n">
        <v>66.84</v>
      </c>
      <c r="O310" s="8" t="n">
        <v>22.71</v>
      </c>
    </row>
    <row r="311" customFormat="false" ht="15" hidden="false" customHeight="true" outlineLevel="0" collapsed="false">
      <c r="A311" s="8" t="s">
        <v>1183</v>
      </c>
      <c r="B311" s="8" t="s">
        <v>1184</v>
      </c>
      <c r="C311" s="8" t="s">
        <v>1185</v>
      </c>
      <c r="D311" s="8" t="s">
        <v>100</v>
      </c>
      <c r="E311" s="8" t="s">
        <v>34</v>
      </c>
      <c r="F311" s="8" t="s">
        <v>200</v>
      </c>
      <c r="G311" s="8" t="s">
        <v>26</v>
      </c>
      <c r="H311" s="8" t="s">
        <v>27</v>
      </c>
      <c r="I311" s="8" t="s">
        <v>149</v>
      </c>
      <c r="J311" s="8" t="s">
        <v>29</v>
      </c>
      <c r="K311" s="8" t="n">
        <v>1</v>
      </c>
      <c r="L311" s="8" t="n">
        <v>438.3</v>
      </c>
      <c r="M311" s="8" t="n">
        <v>0.05</v>
      </c>
      <c r="N311" s="8" t="n">
        <v>416.38</v>
      </c>
      <c r="O311" s="8" t="n">
        <v>116.58</v>
      </c>
    </row>
    <row r="312" customFormat="false" ht="15" hidden="false" customHeight="true" outlineLevel="0" collapsed="false">
      <c r="A312" s="8" t="s">
        <v>1186</v>
      </c>
      <c r="B312" s="8" t="s">
        <v>1187</v>
      </c>
      <c r="C312" s="8" t="s">
        <v>1188</v>
      </c>
      <c r="D312" s="8" t="s">
        <v>1055</v>
      </c>
      <c r="E312" s="8" t="s">
        <v>52</v>
      </c>
      <c r="F312" s="8" t="s">
        <v>173</v>
      </c>
      <c r="G312" s="8" t="s">
        <v>102</v>
      </c>
      <c r="H312" s="8" t="s">
        <v>77</v>
      </c>
      <c r="I312" s="8" t="s">
        <v>71</v>
      </c>
      <c r="J312" s="8" t="s">
        <v>47</v>
      </c>
      <c r="K312" s="8" t="n">
        <v>1</v>
      </c>
      <c r="L312" s="8" t="n">
        <v>167.04</v>
      </c>
      <c r="M312" s="8" t="n">
        <v>0.15</v>
      </c>
      <c r="N312" s="8" t="n">
        <v>141.98</v>
      </c>
      <c r="O312" s="8" t="n">
        <v>23.17</v>
      </c>
    </row>
    <row r="313" customFormat="false" ht="15" hidden="false" customHeight="true" outlineLevel="0" collapsed="false">
      <c r="A313" s="8" t="s">
        <v>1189</v>
      </c>
      <c r="B313" s="8" t="s">
        <v>1190</v>
      </c>
      <c r="C313" s="8" t="s">
        <v>1191</v>
      </c>
      <c r="D313" s="8" t="s">
        <v>1192</v>
      </c>
      <c r="E313" s="8" t="s">
        <v>52</v>
      </c>
      <c r="F313" s="8" t="s">
        <v>173</v>
      </c>
      <c r="G313" s="8" t="s">
        <v>182</v>
      </c>
      <c r="H313" s="8" t="s">
        <v>77</v>
      </c>
      <c r="I313" s="8" t="s">
        <v>78</v>
      </c>
      <c r="J313" s="8" t="s">
        <v>47</v>
      </c>
      <c r="K313" s="8" t="n">
        <v>3</v>
      </c>
      <c r="L313" s="8" t="n">
        <v>1012.47</v>
      </c>
      <c r="M313" s="8" t="n">
        <v>0.2</v>
      </c>
      <c r="N313" s="8" t="n">
        <v>2429.93</v>
      </c>
      <c r="O313" s="8" t="n">
        <v>134.57</v>
      </c>
    </row>
    <row r="314" customFormat="false" ht="15" hidden="false" customHeight="true" outlineLevel="0" collapsed="false">
      <c r="A314" s="8" t="s">
        <v>1193</v>
      </c>
      <c r="B314" s="8" t="s">
        <v>918</v>
      </c>
      <c r="C314" s="8" t="s">
        <v>1194</v>
      </c>
      <c r="D314" s="8" t="s">
        <v>1195</v>
      </c>
      <c r="E314" s="8"/>
      <c r="F314" s="8" t="s">
        <v>154</v>
      </c>
      <c r="G314" s="8" t="s">
        <v>102</v>
      </c>
      <c r="H314" s="8" t="s">
        <v>359</v>
      </c>
      <c r="I314" s="8" t="s">
        <v>220</v>
      </c>
      <c r="J314" s="8" t="s">
        <v>39</v>
      </c>
      <c r="K314" s="8"/>
      <c r="L314" s="8" t="n">
        <v>624.99</v>
      </c>
      <c r="M314" s="8" t="n">
        <v>0.05</v>
      </c>
      <c r="N314" s="8" t="n">
        <v>593.74</v>
      </c>
      <c r="O314" s="8" t="n">
        <v>155.58</v>
      </c>
    </row>
    <row r="315" customFormat="false" ht="15" hidden="false" customHeight="true" outlineLevel="0" collapsed="false">
      <c r="A315" s="8" t="s">
        <v>1196</v>
      </c>
      <c r="B315" s="8" t="s">
        <v>1197</v>
      </c>
      <c r="C315" s="8" t="s">
        <v>1198</v>
      </c>
      <c r="D315" s="8" t="s">
        <v>1199</v>
      </c>
      <c r="E315" s="8" t="s">
        <v>34</v>
      </c>
      <c r="F315" s="8" t="s">
        <v>173</v>
      </c>
      <c r="G315" s="8" t="s">
        <v>102</v>
      </c>
      <c r="H315" s="8" t="s">
        <v>359</v>
      </c>
      <c r="I315" s="8" t="s">
        <v>56</v>
      </c>
      <c r="J315" s="8" t="s">
        <v>39</v>
      </c>
      <c r="K315" s="8" t="n">
        <v>2</v>
      </c>
      <c r="L315" s="8" t="n">
        <v>1164.06</v>
      </c>
      <c r="M315" s="8" t="n">
        <v>0.15</v>
      </c>
      <c r="N315" s="8" t="n">
        <v>1978.9</v>
      </c>
      <c r="O315" s="8" t="n">
        <v>288.1</v>
      </c>
    </row>
    <row r="316" customFormat="false" ht="15" hidden="false" customHeight="true" outlineLevel="0" collapsed="false">
      <c r="A316" s="8" t="s">
        <v>1200</v>
      </c>
      <c r="B316" s="8" t="s">
        <v>1201</v>
      </c>
      <c r="C316" s="8" t="s">
        <v>1202</v>
      </c>
      <c r="D316" s="8" t="s">
        <v>1203</v>
      </c>
      <c r="E316" s="8" t="s">
        <v>52</v>
      </c>
      <c r="F316" s="8" t="s">
        <v>69</v>
      </c>
      <c r="G316" s="8" t="s">
        <v>82</v>
      </c>
      <c r="H316" s="8" t="s">
        <v>70</v>
      </c>
      <c r="I316" s="8" t="s">
        <v>71</v>
      </c>
      <c r="J316" s="8" t="s">
        <v>47</v>
      </c>
      <c r="K316" s="8" t="n">
        <v>2</v>
      </c>
      <c r="L316" s="8" t="n">
        <v>460.73</v>
      </c>
      <c r="M316" s="8" t="n">
        <v>0.1</v>
      </c>
      <c r="N316" s="8" t="n">
        <v>829.31</v>
      </c>
      <c r="O316" s="8" t="n">
        <v>128.27</v>
      </c>
    </row>
    <row r="317" customFormat="false" ht="15" hidden="false" customHeight="true" outlineLevel="0" collapsed="false">
      <c r="A317" s="8" t="s">
        <v>1204</v>
      </c>
      <c r="B317" s="8" t="s">
        <v>698</v>
      </c>
      <c r="C317" s="8" t="s">
        <v>1205</v>
      </c>
      <c r="D317" s="8" t="s">
        <v>1206</v>
      </c>
      <c r="E317" s="8" t="s">
        <v>24</v>
      </c>
      <c r="F317" s="8" t="s">
        <v>154</v>
      </c>
      <c r="G317" s="8" t="s">
        <v>182</v>
      </c>
      <c r="H317" s="8" t="s">
        <v>206</v>
      </c>
      <c r="I317" s="8" t="s">
        <v>527</v>
      </c>
      <c r="J317" s="8" t="s">
        <v>64</v>
      </c>
      <c r="K317" s="8" t="n">
        <v>1</v>
      </c>
      <c r="L317" s="8" t="n">
        <v>36.34</v>
      </c>
      <c r="M317" s="8" t="n">
        <v>0.2</v>
      </c>
      <c r="N317" s="8" t="n">
        <v>29.07</v>
      </c>
      <c r="O317" s="8" t="n">
        <v>-0.18</v>
      </c>
    </row>
    <row r="318" customFormat="false" ht="15" hidden="false" customHeight="true" outlineLevel="0" collapsed="false">
      <c r="A318" s="8" t="s">
        <v>1207</v>
      </c>
      <c r="B318" s="8" t="s">
        <v>1208</v>
      </c>
      <c r="C318" s="8" t="s">
        <v>1209</v>
      </c>
      <c r="D318" s="8" t="s">
        <v>1210</v>
      </c>
      <c r="E318" s="8" t="s">
        <v>34</v>
      </c>
      <c r="F318" s="8" t="s">
        <v>101</v>
      </c>
      <c r="G318" s="8" t="s">
        <v>182</v>
      </c>
      <c r="H318" s="8" t="s">
        <v>359</v>
      </c>
      <c r="I318" s="8" t="s">
        <v>104</v>
      </c>
      <c r="J318" s="8" t="s">
        <v>47</v>
      </c>
      <c r="K318" s="8" t="n">
        <v>4</v>
      </c>
      <c r="L318" s="8" t="n">
        <v>505.44</v>
      </c>
      <c r="M318" s="8" t="n">
        <v>0.15</v>
      </c>
      <c r="N318" s="8" t="n">
        <v>1718.5</v>
      </c>
      <c r="O318" s="8" t="n">
        <v>-65.07</v>
      </c>
    </row>
    <row r="319" customFormat="false" ht="15" hidden="false" customHeight="true" outlineLevel="0" collapsed="false">
      <c r="A319" s="8" t="s">
        <v>1211</v>
      </c>
      <c r="B319" s="8" t="s">
        <v>1212</v>
      </c>
      <c r="C319" s="8" t="s">
        <v>1213</v>
      </c>
      <c r="D319" s="8" t="s">
        <v>1214</v>
      </c>
      <c r="E319" s="8" t="s">
        <v>52</v>
      </c>
      <c r="F319" s="8" t="s">
        <v>69</v>
      </c>
      <c r="G319" s="8" t="s">
        <v>89</v>
      </c>
      <c r="H319" s="8" t="s">
        <v>280</v>
      </c>
      <c r="I319" s="8" t="s">
        <v>201</v>
      </c>
      <c r="J319" s="8" t="s">
        <v>47</v>
      </c>
      <c r="K319" s="8" t="n">
        <v>5</v>
      </c>
      <c r="L319" s="8" t="n">
        <v>995.12</v>
      </c>
      <c r="M319" s="8"/>
      <c r="N319" s="8" t="n">
        <v>4975.6</v>
      </c>
      <c r="O319" s="8" t="n">
        <v>-142.8</v>
      </c>
    </row>
    <row r="320" customFormat="false" ht="15" hidden="false" customHeight="true" outlineLevel="0" collapsed="false">
      <c r="A320" s="8" t="s">
        <v>1215</v>
      </c>
      <c r="B320" s="8" t="s">
        <v>1216</v>
      </c>
      <c r="C320" s="8" t="s">
        <v>1217</v>
      </c>
      <c r="D320" s="8" t="s">
        <v>429</v>
      </c>
      <c r="E320" s="8" t="s">
        <v>52</v>
      </c>
      <c r="F320" s="8" t="s">
        <v>372</v>
      </c>
      <c r="G320" s="8" t="s">
        <v>215</v>
      </c>
      <c r="H320" s="8" t="s">
        <v>206</v>
      </c>
      <c r="I320" s="8" t="s">
        <v>527</v>
      </c>
      <c r="J320" s="8" t="s">
        <v>29</v>
      </c>
      <c r="K320" s="8" t="n">
        <v>5</v>
      </c>
      <c r="L320" s="8" t="n">
        <v>831.69</v>
      </c>
      <c r="M320" s="8" t="n">
        <v>0.1</v>
      </c>
      <c r="N320" s="8" t="n">
        <v>3742.61</v>
      </c>
      <c r="O320" s="8" t="n">
        <v>809.47</v>
      </c>
    </row>
    <row r="321" customFormat="false" ht="15" hidden="false" customHeight="true" outlineLevel="0" collapsed="false">
      <c r="A321" s="8" t="s">
        <v>1218</v>
      </c>
      <c r="B321" s="8" t="s">
        <v>1219</v>
      </c>
      <c r="C321" s="8" t="s">
        <v>111</v>
      </c>
      <c r="D321" s="8" t="s">
        <v>1220</v>
      </c>
      <c r="E321" s="8" t="s">
        <v>34</v>
      </c>
      <c r="F321" s="8" t="s">
        <v>147</v>
      </c>
      <c r="G321" s="8" t="s">
        <v>215</v>
      </c>
      <c r="H321" s="8" t="s">
        <v>142</v>
      </c>
      <c r="I321" s="8" t="s">
        <v>404</v>
      </c>
      <c r="J321" s="8" t="s">
        <v>39</v>
      </c>
      <c r="K321" s="8" t="n">
        <v>1</v>
      </c>
      <c r="L321" s="8" t="n">
        <v>360.48</v>
      </c>
      <c r="M321" s="8" t="n">
        <v>0</v>
      </c>
      <c r="N321" s="8" t="n">
        <v>360.48</v>
      </c>
      <c r="O321" s="8" t="n">
        <v>-7.73</v>
      </c>
    </row>
    <row r="322" customFormat="false" ht="15" hidden="false" customHeight="true" outlineLevel="0" collapsed="false">
      <c r="A322" s="8" t="s">
        <v>1221</v>
      </c>
      <c r="B322" s="8" t="s">
        <v>1222</v>
      </c>
      <c r="C322" s="8"/>
      <c r="D322" s="8" t="s">
        <v>1223</v>
      </c>
      <c r="E322" s="8" t="s">
        <v>24</v>
      </c>
      <c r="F322" s="8" t="s">
        <v>126</v>
      </c>
      <c r="G322" s="8" t="s">
        <v>82</v>
      </c>
      <c r="H322" s="8" t="s">
        <v>114</v>
      </c>
      <c r="I322" s="8" t="s">
        <v>115</v>
      </c>
      <c r="J322" s="8" t="s">
        <v>47</v>
      </c>
      <c r="K322" s="8" t="n">
        <v>2</v>
      </c>
      <c r="L322" s="8" t="n">
        <v>119.56</v>
      </c>
      <c r="M322" s="8" t="n">
        <v>0.1</v>
      </c>
      <c r="N322" s="8" t="n">
        <v>215.21</v>
      </c>
      <c r="O322" s="8" t="n">
        <v>12.49</v>
      </c>
    </row>
    <row r="323" customFormat="false" ht="15" hidden="false" customHeight="true" outlineLevel="0" collapsed="false">
      <c r="A323" s="8" t="s">
        <v>1224</v>
      </c>
      <c r="B323" s="8" t="s">
        <v>1187</v>
      </c>
      <c r="C323" s="8" t="s">
        <v>1225</v>
      </c>
      <c r="D323" s="8" t="s">
        <v>817</v>
      </c>
      <c r="E323" s="8"/>
      <c r="F323" s="8" t="s">
        <v>35</v>
      </c>
      <c r="G323" s="8" t="s">
        <v>36</v>
      </c>
      <c r="H323" s="8" t="s">
        <v>55</v>
      </c>
      <c r="I323" s="8" t="s">
        <v>63</v>
      </c>
      <c r="J323" s="8" t="s">
        <v>64</v>
      </c>
      <c r="K323" s="8"/>
      <c r="L323" s="8" t="n">
        <v>604.96</v>
      </c>
      <c r="M323" s="8"/>
      <c r="N323" s="8" t="n">
        <v>604.96</v>
      </c>
      <c r="O323" s="8"/>
    </row>
    <row r="324" customFormat="false" ht="15" hidden="false" customHeight="true" outlineLevel="0" collapsed="false">
      <c r="A324" s="8" t="s">
        <v>1226</v>
      </c>
      <c r="B324" s="8" t="s">
        <v>1227</v>
      </c>
      <c r="C324" s="8" t="s">
        <v>1228</v>
      </c>
      <c r="D324" s="8" t="s">
        <v>1229</v>
      </c>
      <c r="E324" s="8" t="s">
        <v>24</v>
      </c>
      <c r="F324" s="8" t="s">
        <v>35</v>
      </c>
      <c r="G324" s="8" t="s">
        <v>62</v>
      </c>
      <c r="H324" s="8" t="s">
        <v>37</v>
      </c>
      <c r="I324" s="8" t="s">
        <v>527</v>
      </c>
      <c r="J324" s="8" t="s">
        <v>29</v>
      </c>
      <c r="K324" s="8" t="n">
        <v>5</v>
      </c>
      <c r="L324" s="8" t="n">
        <v>121.3</v>
      </c>
      <c r="M324" s="8" t="n">
        <v>0.1</v>
      </c>
      <c r="N324" s="8" t="n">
        <v>545.85</v>
      </c>
      <c r="O324" s="8" t="n">
        <v>116.36</v>
      </c>
    </row>
    <row r="325" customFormat="false" ht="15" hidden="false" customHeight="true" outlineLevel="0" collapsed="false">
      <c r="A325" s="8" t="s">
        <v>1230</v>
      </c>
      <c r="B325" s="8" t="s">
        <v>1231</v>
      </c>
      <c r="C325" s="8" t="s">
        <v>1232</v>
      </c>
      <c r="D325" s="8" t="s">
        <v>1233</v>
      </c>
      <c r="E325" s="8" t="s">
        <v>52</v>
      </c>
      <c r="F325" s="8" t="s">
        <v>61</v>
      </c>
      <c r="G325" s="8" t="s">
        <v>62</v>
      </c>
      <c r="H325" s="8" t="s">
        <v>114</v>
      </c>
      <c r="I325" s="8" t="s">
        <v>109</v>
      </c>
      <c r="J325" s="8" t="s">
        <v>64</v>
      </c>
      <c r="K325" s="8" t="n">
        <v>1</v>
      </c>
      <c r="L325" s="8" t="n">
        <v>969.14</v>
      </c>
      <c r="M325" s="8" t="n">
        <v>0.1</v>
      </c>
      <c r="N325" s="8" t="n">
        <v>872.23</v>
      </c>
      <c r="O325" s="8" t="n">
        <v>214.76</v>
      </c>
    </row>
    <row r="326" customFormat="false" ht="15" hidden="false" customHeight="true" outlineLevel="0" collapsed="false">
      <c r="A326" s="8" t="s">
        <v>1234</v>
      </c>
      <c r="B326" s="8" t="s">
        <v>1235</v>
      </c>
      <c r="C326" s="8" t="s">
        <v>1236</v>
      </c>
      <c r="D326" s="8" t="s">
        <v>1237</v>
      </c>
      <c r="E326" s="8"/>
      <c r="F326" s="8" t="s">
        <v>154</v>
      </c>
      <c r="G326" s="8" t="s">
        <v>102</v>
      </c>
      <c r="H326" s="8" t="s">
        <v>120</v>
      </c>
      <c r="I326" s="8" t="s">
        <v>127</v>
      </c>
      <c r="J326" s="8" t="s">
        <v>64</v>
      </c>
      <c r="K326" s="8" t="n">
        <v>2</v>
      </c>
      <c r="L326" s="8" t="n">
        <v>21.83</v>
      </c>
      <c r="M326" s="8" t="n">
        <v>0.1</v>
      </c>
      <c r="N326" s="8" t="n">
        <v>39.29</v>
      </c>
      <c r="O326" s="8" t="n">
        <v>5.18</v>
      </c>
    </row>
    <row r="327" customFormat="false" ht="15" hidden="false" customHeight="true" outlineLevel="0" collapsed="false">
      <c r="A327" s="8" t="s">
        <v>1238</v>
      </c>
      <c r="B327" s="8" t="s">
        <v>1239</v>
      </c>
      <c r="C327" s="8" t="s">
        <v>805</v>
      </c>
      <c r="D327" s="8" t="s">
        <v>1240</v>
      </c>
      <c r="E327" s="8" t="s">
        <v>34</v>
      </c>
      <c r="F327" s="8" t="s">
        <v>101</v>
      </c>
      <c r="G327" s="8" t="s">
        <v>182</v>
      </c>
      <c r="H327" s="8" t="s">
        <v>191</v>
      </c>
      <c r="I327" s="8" t="s">
        <v>127</v>
      </c>
      <c r="J327" s="8" t="s">
        <v>39</v>
      </c>
      <c r="K327" s="8" t="n">
        <v>1</v>
      </c>
      <c r="L327" s="8" t="n">
        <v>500.8</v>
      </c>
      <c r="M327" s="8" t="n">
        <v>0.15</v>
      </c>
      <c r="N327" s="8" t="n">
        <v>425.68</v>
      </c>
      <c r="O327" s="8" t="n">
        <v>81.94</v>
      </c>
    </row>
    <row r="328" customFormat="false" ht="15" hidden="false" customHeight="true" outlineLevel="0" collapsed="false">
      <c r="A328" s="8" t="s">
        <v>1241</v>
      </c>
      <c r="B328" s="8" t="s">
        <v>1242</v>
      </c>
      <c r="C328" s="8" t="s">
        <v>1243</v>
      </c>
      <c r="D328" s="8" t="s">
        <v>1244</v>
      </c>
      <c r="E328" s="8" t="s">
        <v>34</v>
      </c>
      <c r="F328" s="8" t="s">
        <v>147</v>
      </c>
      <c r="G328" s="8" t="s">
        <v>326</v>
      </c>
      <c r="H328" s="8" t="s">
        <v>103</v>
      </c>
      <c r="I328" s="8" t="s">
        <v>133</v>
      </c>
      <c r="J328" s="8" t="s">
        <v>39</v>
      </c>
      <c r="K328" s="8" t="n">
        <v>3</v>
      </c>
      <c r="L328" s="8" t="n">
        <v>799.46</v>
      </c>
      <c r="M328" s="8" t="n">
        <v>0.05</v>
      </c>
      <c r="N328" s="8" t="n">
        <v>2278.46</v>
      </c>
      <c r="O328" s="8" t="n">
        <v>145.15</v>
      </c>
    </row>
    <row r="329" customFormat="false" ht="15" hidden="false" customHeight="true" outlineLevel="0" collapsed="false">
      <c r="A329" s="8" t="s">
        <v>1245</v>
      </c>
      <c r="B329" s="8" t="s">
        <v>1246</v>
      </c>
      <c r="C329" s="8" t="s">
        <v>1247</v>
      </c>
      <c r="D329" s="8" t="s">
        <v>1248</v>
      </c>
      <c r="E329" s="8" t="s">
        <v>34</v>
      </c>
      <c r="F329" s="8" t="s">
        <v>154</v>
      </c>
      <c r="G329" s="8" t="s">
        <v>182</v>
      </c>
      <c r="H329" s="8" t="s">
        <v>45</v>
      </c>
      <c r="I329" s="8" t="s">
        <v>149</v>
      </c>
      <c r="J329" s="8" t="s">
        <v>39</v>
      </c>
      <c r="K329" s="8" t="n">
        <v>2</v>
      </c>
      <c r="L329" s="8" t="n">
        <v>769.38</v>
      </c>
      <c r="M329" s="8" t="n">
        <v>0</v>
      </c>
      <c r="N329" s="8" t="n">
        <v>1538.76</v>
      </c>
      <c r="O329" s="8"/>
    </row>
    <row r="330" customFormat="false" ht="15" hidden="false" customHeight="true" outlineLevel="0" collapsed="false">
      <c r="A330" s="8" t="s">
        <v>1249</v>
      </c>
      <c r="B330" s="8" t="s">
        <v>1250</v>
      </c>
      <c r="C330" s="8" t="s">
        <v>1251</v>
      </c>
      <c r="D330" s="8" t="s">
        <v>164</v>
      </c>
      <c r="E330" s="8"/>
      <c r="F330" s="8" t="s">
        <v>147</v>
      </c>
      <c r="G330" s="8" t="s">
        <v>326</v>
      </c>
      <c r="H330" s="8" t="s">
        <v>27</v>
      </c>
      <c r="I330" s="8" t="s">
        <v>28</v>
      </c>
      <c r="J330" s="8" t="s">
        <v>29</v>
      </c>
      <c r="K330" s="8" t="n">
        <v>2</v>
      </c>
      <c r="L330" s="8" t="n">
        <v>354.05</v>
      </c>
      <c r="M330" s="8" t="n">
        <v>0.1</v>
      </c>
      <c r="N330" s="8" t="n">
        <v>637.29</v>
      </c>
      <c r="O330" s="8" t="n">
        <v>82.76</v>
      </c>
    </row>
    <row r="331" customFormat="false" ht="15" hidden="false" customHeight="true" outlineLevel="0" collapsed="false">
      <c r="A331" s="8" t="s">
        <v>1252</v>
      </c>
      <c r="B331" s="8" t="s">
        <v>1253</v>
      </c>
      <c r="C331" s="8" t="s">
        <v>1254</v>
      </c>
      <c r="D331" s="8" t="s">
        <v>1255</v>
      </c>
      <c r="E331" s="8" t="s">
        <v>52</v>
      </c>
      <c r="F331" s="8" t="s">
        <v>35</v>
      </c>
      <c r="G331" s="8" t="s">
        <v>62</v>
      </c>
      <c r="H331" s="8" t="s">
        <v>155</v>
      </c>
      <c r="I331" s="8" t="s">
        <v>160</v>
      </c>
      <c r="J331" s="8" t="s">
        <v>29</v>
      </c>
      <c r="K331" s="8" t="n">
        <v>1</v>
      </c>
      <c r="L331" s="8" t="n">
        <v>481.09</v>
      </c>
      <c r="M331" s="8"/>
      <c r="N331" s="8" t="n">
        <v>481.09</v>
      </c>
      <c r="O331" s="8" t="n">
        <v>30.04</v>
      </c>
    </row>
    <row r="332" customFormat="false" ht="15" hidden="false" customHeight="true" outlineLevel="0" collapsed="false">
      <c r="A332" s="8" t="s">
        <v>1256</v>
      </c>
      <c r="B332" s="8" t="s">
        <v>1257</v>
      </c>
      <c r="C332" s="8" t="s">
        <v>1258</v>
      </c>
      <c r="D332" s="8" t="s">
        <v>1259</v>
      </c>
      <c r="E332" s="8"/>
      <c r="F332" s="8" t="s">
        <v>147</v>
      </c>
      <c r="G332" s="8" t="s">
        <v>215</v>
      </c>
      <c r="H332" s="8" t="s">
        <v>83</v>
      </c>
      <c r="I332" s="8" t="s">
        <v>84</v>
      </c>
      <c r="J332" s="8" t="s">
        <v>47</v>
      </c>
      <c r="K332" s="8" t="n">
        <v>5</v>
      </c>
      <c r="L332" s="8" t="n">
        <v>1039.56</v>
      </c>
      <c r="M332" s="8"/>
      <c r="N332" s="8" t="n">
        <v>5197.8</v>
      </c>
      <c r="O332" s="8" t="n">
        <v>819.54</v>
      </c>
    </row>
    <row r="333" customFormat="false" ht="15" hidden="false" customHeight="true" outlineLevel="0" collapsed="false">
      <c r="A333" s="8" t="s">
        <v>1260</v>
      </c>
      <c r="B333" s="8" t="s">
        <v>1261</v>
      </c>
      <c r="C333" s="8" t="s">
        <v>1262</v>
      </c>
      <c r="D333" s="8" t="s">
        <v>1263</v>
      </c>
      <c r="E333" s="8"/>
      <c r="F333" s="8" t="s">
        <v>173</v>
      </c>
      <c r="G333" s="8" t="s">
        <v>182</v>
      </c>
      <c r="H333" s="8" t="s">
        <v>37</v>
      </c>
      <c r="I333" s="8" t="s">
        <v>404</v>
      </c>
      <c r="J333" s="8" t="s">
        <v>29</v>
      </c>
      <c r="K333" s="8" t="n">
        <v>3</v>
      </c>
      <c r="L333" s="8" t="n">
        <v>897.14</v>
      </c>
      <c r="M333" s="8" t="n">
        <v>0.1</v>
      </c>
      <c r="N333" s="8" t="n">
        <v>2422.28</v>
      </c>
      <c r="O333" s="8" t="n">
        <v>156.48</v>
      </c>
    </row>
    <row r="334" customFormat="false" ht="15" hidden="false" customHeight="true" outlineLevel="0" collapsed="false">
      <c r="A334" s="8" t="s">
        <v>1264</v>
      </c>
      <c r="B334" s="8" t="s">
        <v>1005</v>
      </c>
      <c r="C334" s="8" t="s">
        <v>1265</v>
      </c>
      <c r="D334" s="8" t="s">
        <v>1266</v>
      </c>
      <c r="E334" s="8" t="s">
        <v>24</v>
      </c>
      <c r="F334" s="8" t="s">
        <v>372</v>
      </c>
      <c r="G334" s="8" t="s">
        <v>215</v>
      </c>
      <c r="H334" s="8" t="s">
        <v>45</v>
      </c>
      <c r="I334" s="8" t="s">
        <v>160</v>
      </c>
      <c r="J334" s="8" t="s">
        <v>39</v>
      </c>
      <c r="K334" s="8" t="n">
        <v>1</v>
      </c>
      <c r="L334" s="8" t="n">
        <v>418.29</v>
      </c>
      <c r="M334" s="8" t="n">
        <v>0</v>
      </c>
      <c r="N334" s="8" t="n">
        <v>418.29</v>
      </c>
      <c r="O334" s="8" t="n">
        <v>94.32</v>
      </c>
    </row>
    <row r="335" customFormat="false" ht="15" hidden="false" customHeight="true" outlineLevel="0" collapsed="false">
      <c r="A335" s="8" t="s">
        <v>1267</v>
      </c>
      <c r="B335" s="8" t="s">
        <v>787</v>
      </c>
      <c r="C335" s="8"/>
      <c r="D335" s="8" t="s">
        <v>1223</v>
      </c>
      <c r="E335" s="8" t="s">
        <v>24</v>
      </c>
      <c r="F335" s="8" t="s">
        <v>147</v>
      </c>
      <c r="G335" s="8" t="s">
        <v>326</v>
      </c>
      <c r="H335" s="8" t="s">
        <v>114</v>
      </c>
      <c r="I335" s="8" t="s">
        <v>96</v>
      </c>
      <c r="J335" s="8" t="s">
        <v>39</v>
      </c>
      <c r="K335" s="8" t="n">
        <v>2</v>
      </c>
      <c r="L335" s="8" t="n">
        <v>799.25</v>
      </c>
      <c r="M335" s="8" t="n">
        <v>0.15</v>
      </c>
      <c r="N335" s="8" t="n">
        <v>1358.72</v>
      </c>
      <c r="O335" s="8" t="n">
        <v>116.8</v>
      </c>
    </row>
    <row r="336" customFormat="false" ht="15" hidden="false" customHeight="true" outlineLevel="0" collapsed="false">
      <c r="A336" s="8" t="s">
        <v>1268</v>
      </c>
      <c r="B336" s="8" t="s">
        <v>1269</v>
      </c>
      <c r="C336" s="8" t="s">
        <v>402</v>
      </c>
      <c r="D336" s="8" t="s">
        <v>1270</v>
      </c>
      <c r="E336" s="8"/>
      <c r="F336" s="8" t="s">
        <v>372</v>
      </c>
      <c r="G336" s="8" t="s">
        <v>215</v>
      </c>
      <c r="H336" s="8" t="s">
        <v>55</v>
      </c>
      <c r="I336" s="8" t="s">
        <v>241</v>
      </c>
      <c r="J336" s="8" t="s">
        <v>47</v>
      </c>
      <c r="K336" s="8" t="n">
        <v>2</v>
      </c>
      <c r="L336" s="8" t="n">
        <v>307.31</v>
      </c>
      <c r="M336" s="8" t="n">
        <v>0.15</v>
      </c>
      <c r="N336" s="8" t="n">
        <v>522.43</v>
      </c>
      <c r="O336" s="8" t="n">
        <v>-50.39</v>
      </c>
    </row>
    <row r="337" customFormat="false" ht="15" hidden="false" customHeight="true" outlineLevel="0" collapsed="false">
      <c r="A337" s="8" t="s">
        <v>1271</v>
      </c>
      <c r="B337" s="8" t="s">
        <v>532</v>
      </c>
      <c r="C337" s="8" t="s">
        <v>1272</v>
      </c>
      <c r="D337" s="8"/>
      <c r="E337" s="8" t="s">
        <v>24</v>
      </c>
      <c r="F337" s="8" t="s">
        <v>126</v>
      </c>
      <c r="G337" s="8" t="s">
        <v>82</v>
      </c>
      <c r="H337" s="8" t="s">
        <v>45</v>
      </c>
      <c r="I337" s="8" t="s">
        <v>160</v>
      </c>
      <c r="J337" s="8" t="s">
        <v>39</v>
      </c>
      <c r="K337" s="8" t="n">
        <v>2</v>
      </c>
      <c r="L337" s="8" t="n">
        <v>118.2</v>
      </c>
      <c r="M337" s="8" t="n">
        <v>0</v>
      </c>
      <c r="N337" s="8" t="n">
        <v>236.4</v>
      </c>
      <c r="O337" s="8" t="n">
        <v>-2.56</v>
      </c>
    </row>
    <row r="338" customFormat="false" ht="15" hidden="false" customHeight="true" outlineLevel="0" collapsed="false">
      <c r="A338" s="8" t="s">
        <v>1273</v>
      </c>
      <c r="B338" s="8" t="s">
        <v>525</v>
      </c>
      <c r="C338" s="8" t="s">
        <v>239</v>
      </c>
      <c r="D338" s="8" t="s">
        <v>1274</v>
      </c>
      <c r="E338" s="8" t="s">
        <v>52</v>
      </c>
      <c r="F338" s="8" t="s">
        <v>200</v>
      </c>
      <c r="G338" s="8" t="s">
        <v>26</v>
      </c>
      <c r="H338" s="8" t="s">
        <v>359</v>
      </c>
      <c r="I338" s="8" t="s">
        <v>241</v>
      </c>
      <c r="J338" s="8" t="s">
        <v>47</v>
      </c>
      <c r="K338" s="8" t="n">
        <v>1</v>
      </c>
      <c r="L338" s="8" t="n">
        <v>1048.86</v>
      </c>
      <c r="M338" s="8"/>
      <c r="N338" s="8" t="n">
        <v>1048.86</v>
      </c>
      <c r="O338" s="8" t="n">
        <v>-63.15</v>
      </c>
    </row>
    <row r="339" customFormat="false" ht="15" hidden="false" customHeight="true" outlineLevel="0" collapsed="false">
      <c r="A339" s="8" t="s">
        <v>1275</v>
      </c>
      <c r="B339" s="8" t="s">
        <v>1276</v>
      </c>
      <c r="C339" s="8" t="s">
        <v>1277</v>
      </c>
      <c r="D339" s="8" t="s">
        <v>1278</v>
      </c>
      <c r="E339" s="8" t="s">
        <v>52</v>
      </c>
      <c r="F339" s="8" t="s">
        <v>53</v>
      </c>
      <c r="G339" s="8" t="s">
        <v>54</v>
      </c>
      <c r="H339" s="8" t="s">
        <v>95</v>
      </c>
      <c r="I339" s="8" t="s">
        <v>201</v>
      </c>
      <c r="J339" s="8" t="s">
        <v>64</v>
      </c>
      <c r="K339" s="8" t="n">
        <v>1</v>
      </c>
      <c r="L339" s="8" t="n">
        <v>645.47</v>
      </c>
      <c r="M339" s="8" t="n">
        <v>0.2</v>
      </c>
      <c r="N339" s="8" t="n">
        <v>516.38</v>
      </c>
      <c r="O339" s="8" t="n">
        <v>-0.57</v>
      </c>
    </row>
    <row r="340" customFormat="false" ht="15" hidden="false" customHeight="true" outlineLevel="0" collapsed="false">
      <c r="A340" s="8" t="s">
        <v>1279</v>
      </c>
      <c r="B340" s="8" t="s">
        <v>1280</v>
      </c>
      <c r="C340" s="8" t="s">
        <v>707</v>
      </c>
      <c r="D340" s="8" t="s">
        <v>1281</v>
      </c>
      <c r="E340" s="8"/>
      <c r="F340" s="8" t="s">
        <v>229</v>
      </c>
      <c r="G340" s="8" t="s">
        <v>102</v>
      </c>
      <c r="H340" s="8" t="s">
        <v>206</v>
      </c>
      <c r="I340" s="8" t="s">
        <v>404</v>
      </c>
      <c r="J340" s="8" t="s">
        <v>47</v>
      </c>
      <c r="K340" s="8" t="n">
        <v>2</v>
      </c>
      <c r="L340" s="8" t="n">
        <v>109.92</v>
      </c>
      <c r="M340" s="8" t="n">
        <v>0.15</v>
      </c>
      <c r="N340" s="8" t="n">
        <v>186.86</v>
      </c>
      <c r="O340" s="8" t="n">
        <v>57.81</v>
      </c>
    </row>
    <row r="341" customFormat="false" ht="15" hidden="false" customHeight="true" outlineLevel="0" collapsed="false">
      <c r="A341" s="8" t="s">
        <v>1282</v>
      </c>
      <c r="B341" s="8" t="s">
        <v>1283</v>
      </c>
      <c r="C341" s="8" t="s">
        <v>1284</v>
      </c>
      <c r="D341" s="8" t="s">
        <v>1285</v>
      </c>
      <c r="E341" s="8"/>
      <c r="F341" s="8" t="s">
        <v>53</v>
      </c>
      <c r="G341" s="8" t="s">
        <v>326</v>
      </c>
      <c r="H341" s="8" t="s">
        <v>132</v>
      </c>
      <c r="I341" s="8" t="s">
        <v>104</v>
      </c>
      <c r="J341" s="8" t="s">
        <v>64</v>
      </c>
      <c r="K341" s="8" t="n">
        <v>2</v>
      </c>
      <c r="L341" s="8" t="n">
        <v>1011.84</v>
      </c>
      <c r="M341" s="8" t="n">
        <v>0.05</v>
      </c>
      <c r="N341" s="8" t="n">
        <v>28837.5</v>
      </c>
      <c r="O341" s="8"/>
    </row>
    <row r="342" customFormat="false" ht="15" hidden="false" customHeight="true" outlineLevel="0" collapsed="false">
      <c r="A342" s="8" t="s">
        <v>1286</v>
      </c>
      <c r="B342" s="8" t="s">
        <v>1287</v>
      </c>
      <c r="C342" s="8" t="s">
        <v>548</v>
      </c>
      <c r="D342" s="8" t="s">
        <v>1288</v>
      </c>
      <c r="E342" s="8" t="s">
        <v>34</v>
      </c>
      <c r="F342" s="8" t="s">
        <v>44</v>
      </c>
      <c r="G342" s="8" t="s">
        <v>62</v>
      </c>
      <c r="H342" s="8" t="s">
        <v>280</v>
      </c>
      <c r="I342" s="8" t="s">
        <v>297</v>
      </c>
      <c r="J342" s="8" t="s">
        <v>47</v>
      </c>
      <c r="K342" s="8" t="n">
        <v>4</v>
      </c>
      <c r="L342" s="8" t="n">
        <v>329.15</v>
      </c>
      <c r="M342" s="8" t="n">
        <v>0</v>
      </c>
      <c r="N342" s="8" t="n">
        <v>1316.6</v>
      </c>
      <c r="O342" s="8" t="n">
        <v>-90.82</v>
      </c>
    </row>
    <row r="343" customFormat="false" ht="15" hidden="false" customHeight="true" outlineLevel="0" collapsed="false">
      <c r="A343" s="8" t="s">
        <v>1289</v>
      </c>
      <c r="B343" s="8" t="s">
        <v>73</v>
      </c>
      <c r="C343" s="8" t="s">
        <v>1290</v>
      </c>
      <c r="D343" s="8" t="s">
        <v>1291</v>
      </c>
      <c r="E343" s="8" t="s">
        <v>52</v>
      </c>
      <c r="F343" s="8" t="s">
        <v>200</v>
      </c>
      <c r="G343" s="8" t="s">
        <v>89</v>
      </c>
      <c r="H343" s="8" t="s">
        <v>280</v>
      </c>
      <c r="I343" s="8" t="s">
        <v>297</v>
      </c>
      <c r="J343" s="8" t="s">
        <v>39</v>
      </c>
      <c r="K343" s="8" t="n">
        <v>1</v>
      </c>
      <c r="L343" s="8" t="n">
        <v>100.56</v>
      </c>
      <c r="M343" s="8" t="n">
        <v>0.15</v>
      </c>
      <c r="N343" s="8" t="n">
        <v>85.48</v>
      </c>
      <c r="O343" s="8" t="n">
        <v>17.03</v>
      </c>
    </row>
    <row r="344" customFormat="false" ht="15" hidden="false" customHeight="true" outlineLevel="0" collapsed="false">
      <c r="A344" s="8" t="s">
        <v>1292</v>
      </c>
      <c r="B344" s="8" t="s">
        <v>1293</v>
      </c>
      <c r="C344" s="8" t="s">
        <v>1294</v>
      </c>
      <c r="D344" s="8" t="s">
        <v>1295</v>
      </c>
      <c r="E344" s="8" t="s">
        <v>24</v>
      </c>
      <c r="F344" s="8" t="s">
        <v>94</v>
      </c>
      <c r="G344" s="8" t="s">
        <v>215</v>
      </c>
      <c r="H344" s="8" t="s">
        <v>45</v>
      </c>
      <c r="I344" s="8" t="s">
        <v>160</v>
      </c>
      <c r="J344" s="8" t="s">
        <v>47</v>
      </c>
      <c r="K344" s="8" t="n">
        <v>3</v>
      </c>
      <c r="L344" s="8" t="n">
        <v>400.68</v>
      </c>
      <c r="M344" s="8" t="n">
        <v>0</v>
      </c>
      <c r="N344" s="8" t="n">
        <v>1202.04</v>
      </c>
      <c r="O344" s="8" t="n">
        <v>285.12</v>
      </c>
    </row>
    <row r="345" customFormat="false" ht="15" hidden="false" customHeight="true" outlineLevel="0" collapsed="false">
      <c r="A345" s="8" t="s">
        <v>1296</v>
      </c>
      <c r="B345" s="8" t="s">
        <v>1297</v>
      </c>
      <c r="C345" s="8" t="s">
        <v>303</v>
      </c>
      <c r="D345" s="8" t="s">
        <v>1298</v>
      </c>
      <c r="E345" s="8"/>
      <c r="F345" s="8" t="s">
        <v>35</v>
      </c>
      <c r="G345" s="8" t="s">
        <v>36</v>
      </c>
      <c r="H345" s="8" t="s">
        <v>155</v>
      </c>
      <c r="I345" s="8" t="s">
        <v>160</v>
      </c>
      <c r="J345" s="8" t="s">
        <v>64</v>
      </c>
      <c r="K345" s="8"/>
      <c r="L345" s="8" t="n">
        <v>786.42</v>
      </c>
      <c r="M345" s="8" t="n">
        <v>0.05</v>
      </c>
      <c r="N345" s="8" t="n">
        <v>747.1</v>
      </c>
      <c r="O345" s="8" t="n">
        <v>96.89</v>
      </c>
    </row>
    <row r="346" customFormat="false" ht="15" hidden="false" customHeight="true" outlineLevel="0" collapsed="false">
      <c r="A346" s="8" t="s">
        <v>1299</v>
      </c>
      <c r="B346" s="8" t="s">
        <v>1300</v>
      </c>
      <c r="C346" s="8" t="s">
        <v>1301</v>
      </c>
      <c r="D346" s="8" t="s">
        <v>1302</v>
      </c>
      <c r="E346" s="8" t="s">
        <v>52</v>
      </c>
      <c r="F346" s="8" t="s">
        <v>94</v>
      </c>
      <c r="G346" s="8" t="s">
        <v>215</v>
      </c>
      <c r="H346" s="8" t="s">
        <v>55</v>
      </c>
      <c r="I346" s="8" t="s">
        <v>63</v>
      </c>
      <c r="J346" s="8" t="s">
        <v>64</v>
      </c>
      <c r="K346" s="8" t="n">
        <v>5</v>
      </c>
      <c r="L346" s="8" t="n">
        <v>128.89</v>
      </c>
      <c r="M346" s="8"/>
      <c r="N346" s="8" t="n">
        <v>644.45</v>
      </c>
      <c r="O346" s="8" t="n">
        <v>-3</v>
      </c>
    </row>
    <row r="347" customFormat="false" ht="15" hidden="false" customHeight="true" outlineLevel="0" collapsed="false">
      <c r="A347" s="8" t="s">
        <v>1303</v>
      </c>
      <c r="B347" s="8" t="s">
        <v>1222</v>
      </c>
      <c r="C347" s="8" t="s">
        <v>1304</v>
      </c>
      <c r="D347" s="8" t="s">
        <v>1305</v>
      </c>
      <c r="E347" s="8"/>
      <c r="F347" s="8" t="s">
        <v>44</v>
      </c>
      <c r="G347" s="8" t="s">
        <v>76</v>
      </c>
      <c r="H347" s="8" t="s">
        <v>103</v>
      </c>
      <c r="I347" s="8" t="s">
        <v>56</v>
      </c>
      <c r="J347" s="8" t="s">
        <v>29</v>
      </c>
      <c r="K347" s="8" t="n">
        <v>5</v>
      </c>
      <c r="L347" s="8" t="n">
        <v>675.1</v>
      </c>
      <c r="M347" s="8" t="n">
        <v>0.1</v>
      </c>
      <c r="N347" s="8" t="n">
        <v>3037.95</v>
      </c>
      <c r="O347" s="8" t="n">
        <v>-167.83</v>
      </c>
    </row>
    <row r="348" customFormat="false" ht="15" hidden="false" customHeight="true" outlineLevel="0" collapsed="false">
      <c r="A348" s="8" t="s">
        <v>1306</v>
      </c>
      <c r="B348" s="8" t="s">
        <v>1307</v>
      </c>
      <c r="C348" s="8" t="s">
        <v>1308</v>
      </c>
      <c r="D348" s="8" t="s">
        <v>1309</v>
      </c>
      <c r="E348" s="8"/>
      <c r="F348" s="8" t="s">
        <v>44</v>
      </c>
      <c r="G348" s="8" t="s">
        <v>36</v>
      </c>
      <c r="H348" s="8" t="s">
        <v>77</v>
      </c>
      <c r="I348" s="8" t="s">
        <v>121</v>
      </c>
      <c r="J348" s="8" t="s">
        <v>29</v>
      </c>
      <c r="K348" s="8" t="n">
        <v>1</v>
      </c>
      <c r="L348" s="8" t="n">
        <v>57.6</v>
      </c>
      <c r="M348" s="8" t="n">
        <v>0</v>
      </c>
      <c r="N348" s="8" t="n">
        <v>57.6</v>
      </c>
      <c r="O348" s="8" t="n">
        <v>8.97</v>
      </c>
    </row>
    <row r="349" customFormat="false" ht="15" hidden="false" customHeight="true" outlineLevel="0" collapsed="false">
      <c r="A349" s="8" t="s">
        <v>1310</v>
      </c>
      <c r="B349" s="8" t="s">
        <v>349</v>
      </c>
      <c r="C349" s="8" t="s">
        <v>1311</v>
      </c>
      <c r="D349" s="8" t="s">
        <v>354</v>
      </c>
      <c r="E349" s="8" t="s">
        <v>24</v>
      </c>
      <c r="F349" s="8" t="s">
        <v>25</v>
      </c>
      <c r="G349" s="8" t="s">
        <v>26</v>
      </c>
      <c r="H349" s="8" t="s">
        <v>103</v>
      </c>
      <c r="I349" s="8" t="s">
        <v>56</v>
      </c>
      <c r="J349" s="8" t="s">
        <v>47</v>
      </c>
      <c r="K349" s="8" t="n">
        <v>3</v>
      </c>
      <c r="L349" s="8" t="n">
        <v>13.09</v>
      </c>
      <c r="M349" s="8" t="n">
        <v>0.15</v>
      </c>
      <c r="N349" s="8" t="n">
        <v>33.38</v>
      </c>
      <c r="O349" s="8" t="n">
        <v>1.48</v>
      </c>
    </row>
    <row r="350" customFormat="false" ht="15" hidden="false" customHeight="true" outlineLevel="0" collapsed="false">
      <c r="A350" s="8" t="s">
        <v>1312</v>
      </c>
      <c r="B350" s="8" t="s">
        <v>1313</v>
      </c>
      <c r="C350" s="8" t="s">
        <v>1181</v>
      </c>
      <c r="D350" s="8" t="s">
        <v>113</v>
      </c>
      <c r="E350" s="8" t="s">
        <v>52</v>
      </c>
      <c r="F350" s="8" t="s">
        <v>229</v>
      </c>
      <c r="G350" s="8" t="s">
        <v>182</v>
      </c>
      <c r="H350" s="8" t="s">
        <v>37</v>
      </c>
      <c r="I350" s="8" t="s">
        <v>143</v>
      </c>
      <c r="J350" s="8" t="s">
        <v>39</v>
      </c>
      <c r="K350" s="8" t="n">
        <v>3</v>
      </c>
      <c r="L350" s="8" t="n">
        <v>1146.6</v>
      </c>
      <c r="M350" s="8" t="n">
        <v>0</v>
      </c>
      <c r="N350" s="8" t="n">
        <v>3439.8</v>
      </c>
      <c r="O350" s="8" t="n">
        <v>733.63</v>
      </c>
    </row>
    <row r="351" customFormat="false" ht="15" hidden="false" customHeight="true" outlineLevel="0" collapsed="false">
      <c r="A351" s="8" t="s">
        <v>1314</v>
      </c>
      <c r="B351" s="8" t="s">
        <v>1315</v>
      </c>
      <c r="C351" s="8" t="s">
        <v>1316</v>
      </c>
      <c r="D351" s="8" t="s">
        <v>1074</v>
      </c>
      <c r="E351" s="8"/>
      <c r="F351" s="8" t="s">
        <v>154</v>
      </c>
      <c r="G351" s="8" t="s">
        <v>119</v>
      </c>
      <c r="H351" s="8" t="s">
        <v>359</v>
      </c>
      <c r="I351" s="8" t="s">
        <v>220</v>
      </c>
      <c r="J351" s="8" t="s">
        <v>47</v>
      </c>
      <c r="K351" s="8" t="n">
        <v>5</v>
      </c>
      <c r="L351" s="8" t="n">
        <v>194.06</v>
      </c>
      <c r="M351" s="8" t="n">
        <v>0.15</v>
      </c>
      <c r="N351" s="8" t="n">
        <v>824.75</v>
      </c>
      <c r="O351" s="8" t="n">
        <v>-50.62</v>
      </c>
    </row>
    <row r="352" customFormat="false" ht="15" hidden="false" customHeight="true" outlineLevel="0" collapsed="false">
      <c r="A352" s="8" t="s">
        <v>1317</v>
      </c>
      <c r="B352" s="8" t="s">
        <v>1318</v>
      </c>
      <c r="C352" s="8" t="s">
        <v>1319</v>
      </c>
      <c r="D352" s="8" t="s">
        <v>1320</v>
      </c>
      <c r="E352" s="8" t="s">
        <v>24</v>
      </c>
      <c r="F352" s="8" t="s">
        <v>147</v>
      </c>
      <c r="G352" s="8" t="s">
        <v>326</v>
      </c>
      <c r="H352" s="8" t="s">
        <v>70</v>
      </c>
      <c r="I352" s="8" t="s">
        <v>71</v>
      </c>
      <c r="J352" s="8" t="s">
        <v>47</v>
      </c>
      <c r="K352" s="8" t="n">
        <v>2</v>
      </c>
      <c r="L352" s="8" t="n">
        <v>826.37</v>
      </c>
      <c r="M352" s="8" t="n">
        <v>0.15</v>
      </c>
      <c r="N352" s="8" t="n">
        <v>1404.83</v>
      </c>
      <c r="O352" s="8" t="n">
        <v>218.15</v>
      </c>
    </row>
    <row r="353" customFormat="false" ht="15" hidden="false" customHeight="true" outlineLevel="0" collapsed="false">
      <c r="A353" s="8" t="s">
        <v>1321</v>
      </c>
      <c r="B353" s="8" t="s">
        <v>1322</v>
      </c>
      <c r="C353" s="8" t="s">
        <v>1323</v>
      </c>
      <c r="D353" s="8" t="s">
        <v>1324</v>
      </c>
      <c r="E353" s="8"/>
      <c r="F353" s="8" t="s">
        <v>173</v>
      </c>
      <c r="G353" s="8" t="s">
        <v>102</v>
      </c>
      <c r="H353" s="8" t="s">
        <v>27</v>
      </c>
      <c r="I353" s="8" t="s">
        <v>28</v>
      </c>
      <c r="J353" s="8" t="s">
        <v>47</v>
      </c>
      <c r="K353" s="8"/>
      <c r="L353" s="8" t="n">
        <v>886.17</v>
      </c>
      <c r="M353" s="8"/>
      <c r="N353" s="8" t="n">
        <v>886.17</v>
      </c>
      <c r="O353" s="8" t="n">
        <v>-66.9</v>
      </c>
    </row>
    <row r="354" customFormat="false" ht="15" hidden="false" customHeight="true" outlineLevel="0" collapsed="false">
      <c r="A354" s="8" t="s">
        <v>1325</v>
      </c>
      <c r="B354" s="8" t="s">
        <v>438</v>
      </c>
      <c r="C354" s="8" t="s">
        <v>1326</v>
      </c>
      <c r="D354" s="8" t="s">
        <v>354</v>
      </c>
      <c r="E354" s="8" t="s">
        <v>34</v>
      </c>
      <c r="F354" s="8" t="s">
        <v>101</v>
      </c>
      <c r="G354" s="8" t="s">
        <v>182</v>
      </c>
      <c r="H354" s="8" t="s">
        <v>206</v>
      </c>
      <c r="I354" s="8" t="s">
        <v>404</v>
      </c>
      <c r="J354" s="8" t="s">
        <v>29</v>
      </c>
      <c r="K354" s="8" t="n">
        <v>1</v>
      </c>
      <c r="L354" s="8" t="n">
        <v>800.24</v>
      </c>
      <c r="M354" s="8" t="n">
        <v>0.2</v>
      </c>
      <c r="N354" s="8" t="n">
        <v>640.19</v>
      </c>
      <c r="O354" s="8" t="n">
        <v>34.86</v>
      </c>
    </row>
    <row r="355" customFormat="false" ht="15" hidden="false" customHeight="true" outlineLevel="0" collapsed="false">
      <c r="A355" s="8" t="s">
        <v>1327</v>
      </c>
      <c r="B355" s="8" t="s">
        <v>1328</v>
      </c>
      <c r="C355" s="8" t="s">
        <v>1329</v>
      </c>
      <c r="D355" s="8" t="s">
        <v>797</v>
      </c>
      <c r="E355" s="8" t="s">
        <v>52</v>
      </c>
      <c r="F355" s="8" t="s">
        <v>126</v>
      </c>
      <c r="G355" s="8" t="s">
        <v>26</v>
      </c>
      <c r="H355" s="8" t="s">
        <v>155</v>
      </c>
      <c r="I355" s="8" t="s">
        <v>46</v>
      </c>
      <c r="J355" s="8" t="s">
        <v>39</v>
      </c>
      <c r="K355" s="8" t="n">
        <v>2</v>
      </c>
      <c r="L355" s="8" t="n">
        <v>295.57</v>
      </c>
      <c r="M355" s="8"/>
      <c r="N355" s="8" t="n">
        <v>591.14</v>
      </c>
      <c r="O355" s="8" t="n">
        <v>96.15</v>
      </c>
    </row>
    <row r="356" customFormat="false" ht="15" hidden="false" customHeight="true" outlineLevel="0" collapsed="false">
      <c r="A356" s="8" t="s">
        <v>1330</v>
      </c>
      <c r="B356" s="8" t="s">
        <v>1331</v>
      </c>
      <c r="C356" s="8" t="s">
        <v>1332</v>
      </c>
      <c r="D356" s="8" t="s">
        <v>137</v>
      </c>
      <c r="E356" s="8" t="s">
        <v>34</v>
      </c>
      <c r="F356" s="8" t="s">
        <v>69</v>
      </c>
      <c r="G356" s="8" t="s">
        <v>26</v>
      </c>
      <c r="H356" s="8" t="s">
        <v>280</v>
      </c>
      <c r="I356" s="8" t="s">
        <v>96</v>
      </c>
      <c r="J356" s="8" t="s">
        <v>64</v>
      </c>
      <c r="K356" s="8" t="n">
        <v>3</v>
      </c>
      <c r="L356" s="8" t="n">
        <v>398.4</v>
      </c>
      <c r="M356" s="8" t="n">
        <v>0.15</v>
      </c>
      <c r="N356" s="8" t="n">
        <v>1015.92</v>
      </c>
      <c r="O356" s="8" t="n">
        <v>229.43</v>
      </c>
    </row>
    <row r="357" customFormat="false" ht="15" hidden="false" customHeight="true" outlineLevel="0" collapsed="false">
      <c r="A357" s="8" t="s">
        <v>1333</v>
      </c>
      <c r="B357" s="8" t="s">
        <v>1098</v>
      </c>
      <c r="C357" s="8" t="s">
        <v>843</v>
      </c>
      <c r="D357" s="8" t="s">
        <v>1334</v>
      </c>
      <c r="E357" s="8"/>
      <c r="F357" s="8" t="s">
        <v>147</v>
      </c>
      <c r="G357" s="8" t="s">
        <v>54</v>
      </c>
      <c r="H357" s="8" t="s">
        <v>280</v>
      </c>
      <c r="I357" s="8" t="s">
        <v>109</v>
      </c>
      <c r="J357" s="8" t="s">
        <v>47</v>
      </c>
      <c r="K357" s="8" t="n">
        <v>1</v>
      </c>
      <c r="L357" s="8" t="n">
        <v>279.68</v>
      </c>
      <c r="M357" s="8" t="n">
        <v>0</v>
      </c>
      <c r="N357" s="8" t="n">
        <v>279.68</v>
      </c>
      <c r="O357" s="8" t="n">
        <v>27.6</v>
      </c>
    </row>
    <row r="358" customFormat="false" ht="15" hidden="false" customHeight="true" outlineLevel="0" collapsed="false">
      <c r="A358" s="8" t="s">
        <v>1335</v>
      </c>
      <c r="B358" s="8" t="s">
        <v>1336</v>
      </c>
      <c r="C358" s="8" t="s">
        <v>1337</v>
      </c>
      <c r="D358" s="8" t="s">
        <v>1338</v>
      </c>
      <c r="E358" s="8" t="s">
        <v>24</v>
      </c>
      <c r="F358" s="8" t="s">
        <v>154</v>
      </c>
      <c r="G358" s="8" t="s">
        <v>102</v>
      </c>
      <c r="H358" s="8" t="s">
        <v>45</v>
      </c>
      <c r="I358" s="8" t="s">
        <v>138</v>
      </c>
      <c r="J358" s="8" t="s">
        <v>64</v>
      </c>
      <c r="K358" s="8" t="n">
        <v>1</v>
      </c>
      <c r="L358" s="8" t="n">
        <v>757.33</v>
      </c>
      <c r="M358" s="8" t="n">
        <v>0.1</v>
      </c>
      <c r="N358" s="8" t="n">
        <v>681.6</v>
      </c>
      <c r="O358" s="8" t="n">
        <v>183.83</v>
      </c>
    </row>
    <row r="359" customFormat="false" ht="15" hidden="false" customHeight="true" outlineLevel="0" collapsed="false">
      <c r="A359" s="8" t="s">
        <v>1339</v>
      </c>
      <c r="B359" s="8" t="s">
        <v>1340</v>
      </c>
      <c r="C359" s="8" t="s">
        <v>1341</v>
      </c>
      <c r="D359" s="8" t="s">
        <v>1342</v>
      </c>
      <c r="E359" s="8" t="s">
        <v>24</v>
      </c>
      <c r="F359" s="8" t="s">
        <v>154</v>
      </c>
      <c r="G359" s="8" t="s">
        <v>182</v>
      </c>
      <c r="H359" s="8" t="s">
        <v>132</v>
      </c>
      <c r="I359" s="8" t="s">
        <v>56</v>
      </c>
      <c r="J359" s="8" t="s">
        <v>29</v>
      </c>
      <c r="K359" s="8" t="n">
        <v>3</v>
      </c>
      <c r="L359" s="8" t="n">
        <v>450.75</v>
      </c>
      <c r="M359" s="8" t="n">
        <v>0.15</v>
      </c>
      <c r="N359" s="8" t="n">
        <v>1149.41</v>
      </c>
      <c r="O359" s="8" t="n">
        <v>202.35</v>
      </c>
    </row>
    <row r="360" customFormat="false" ht="15" hidden="false" customHeight="true" outlineLevel="0" collapsed="false">
      <c r="A360" s="8" t="s">
        <v>1343</v>
      </c>
      <c r="B360" s="8" t="s">
        <v>1177</v>
      </c>
      <c r="C360" s="8" t="s">
        <v>1038</v>
      </c>
      <c r="D360" s="8"/>
      <c r="E360" s="8" t="s">
        <v>34</v>
      </c>
      <c r="F360" s="8" t="s">
        <v>372</v>
      </c>
      <c r="G360" s="8" t="s">
        <v>326</v>
      </c>
      <c r="H360" s="8" t="s">
        <v>148</v>
      </c>
      <c r="I360" s="8" t="s">
        <v>28</v>
      </c>
      <c r="J360" s="8" t="s">
        <v>29</v>
      </c>
      <c r="K360" s="8" t="n">
        <v>2</v>
      </c>
      <c r="L360" s="8" t="n">
        <v>498.61</v>
      </c>
      <c r="M360" s="8"/>
      <c r="N360" s="8" t="n">
        <v>997.22</v>
      </c>
      <c r="O360" s="8" t="n">
        <v>12.43</v>
      </c>
    </row>
    <row r="361" customFormat="false" ht="15" hidden="false" customHeight="true" outlineLevel="0" collapsed="false">
      <c r="A361" s="8" t="s">
        <v>1344</v>
      </c>
      <c r="B361" s="8" t="s">
        <v>962</v>
      </c>
      <c r="C361" s="8" t="s">
        <v>1300</v>
      </c>
      <c r="D361" s="8" t="s">
        <v>681</v>
      </c>
      <c r="E361" s="8" t="s">
        <v>34</v>
      </c>
      <c r="F361" s="8" t="s">
        <v>200</v>
      </c>
      <c r="G361" s="8" t="s">
        <v>82</v>
      </c>
      <c r="H361" s="8" t="s">
        <v>206</v>
      </c>
      <c r="I361" s="8" t="s">
        <v>84</v>
      </c>
      <c r="J361" s="8" t="s">
        <v>47</v>
      </c>
      <c r="K361" s="8" t="n">
        <v>2</v>
      </c>
      <c r="L361" s="8" t="n">
        <v>946.29</v>
      </c>
      <c r="M361" s="8" t="n">
        <v>0</v>
      </c>
      <c r="N361" s="8" t="n">
        <v>1892.58</v>
      </c>
      <c r="O361" s="8" t="n">
        <v>136.89</v>
      </c>
    </row>
    <row r="362" customFormat="false" ht="15" hidden="false" customHeight="true" outlineLevel="0" collapsed="false">
      <c r="A362" s="8" t="s">
        <v>1345</v>
      </c>
      <c r="B362" s="8" t="s">
        <v>1346</v>
      </c>
      <c r="C362" s="8" t="s">
        <v>1347</v>
      </c>
      <c r="D362" s="8" t="s">
        <v>1348</v>
      </c>
      <c r="E362" s="8" t="s">
        <v>24</v>
      </c>
      <c r="F362" s="8" t="s">
        <v>101</v>
      </c>
      <c r="G362" s="8" t="s">
        <v>102</v>
      </c>
      <c r="H362" s="8" t="s">
        <v>27</v>
      </c>
      <c r="I362" s="8" t="s">
        <v>28</v>
      </c>
      <c r="J362" s="8" t="s">
        <v>39</v>
      </c>
      <c r="K362" s="8" t="n">
        <v>2</v>
      </c>
      <c r="L362" s="8" t="n">
        <v>540.96</v>
      </c>
      <c r="M362" s="8" t="n">
        <v>0</v>
      </c>
      <c r="N362" s="8" t="n">
        <v>1081.92</v>
      </c>
      <c r="O362" s="8" t="n">
        <v>-87.55</v>
      </c>
    </row>
    <row r="363" customFormat="false" ht="15" hidden="false" customHeight="true" outlineLevel="0" collapsed="false">
      <c r="A363" s="8" t="s">
        <v>1349</v>
      </c>
      <c r="B363" s="8" t="s">
        <v>1350</v>
      </c>
      <c r="C363" s="8" t="s">
        <v>1351</v>
      </c>
      <c r="D363" s="8" t="s">
        <v>1352</v>
      </c>
      <c r="E363" s="8"/>
      <c r="F363" s="8" t="s">
        <v>53</v>
      </c>
      <c r="G363" s="8" t="s">
        <v>215</v>
      </c>
      <c r="H363" s="8" t="s">
        <v>120</v>
      </c>
      <c r="I363" s="8" t="s">
        <v>127</v>
      </c>
      <c r="J363" s="8" t="s">
        <v>47</v>
      </c>
      <c r="K363" s="8" t="n">
        <v>2</v>
      </c>
      <c r="L363" s="8" t="n">
        <v>957.14</v>
      </c>
      <c r="M363" s="8" t="n">
        <v>0.2</v>
      </c>
      <c r="N363" s="8" t="n">
        <v>1531.42</v>
      </c>
      <c r="O363" s="8" t="n">
        <v>-1.12</v>
      </c>
    </row>
    <row r="364" customFormat="false" ht="15" hidden="false" customHeight="true" outlineLevel="0" collapsed="false">
      <c r="A364" s="8" t="s">
        <v>1353</v>
      </c>
      <c r="B364" s="8" t="s">
        <v>1354</v>
      </c>
      <c r="C364" s="8" t="s">
        <v>1355</v>
      </c>
      <c r="D364" s="8" t="s">
        <v>769</v>
      </c>
      <c r="E364" s="8" t="s">
        <v>24</v>
      </c>
      <c r="F364" s="8" t="s">
        <v>126</v>
      </c>
      <c r="G364" s="8" t="s">
        <v>89</v>
      </c>
      <c r="H364" s="8" t="s">
        <v>103</v>
      </c>
      <c r="I364" s="8" t="s">
        <v>133</v>
      </c>
      <c r="J364" s="8" t="s">
        <v>29</v>
      </c>
      <c r="K364" s="8" t="n">
        <v>4</v>
      </c>
      <c r="L364" s="8" t="n">
        <v>71.99</v>
      </c>
      <c r="M364" s="8"/>
      <c r="N364" s="8" t="n">
        <v>287.96</v>
      </c>
      <c r="O364" s="8" t="n">
        <v>46.28</v>
      </c>
    </row>
    <row r="365" customFormat="false" ht="15" hidden="false" customHeight="true" outlineLevel="0" collapsed="false">
      <c r="A365" s="8" t="s">
        <v>1356</v>
      </c>
      <c r="B365" s="8" t="s">
        <v>1357</v>
      </c>
      <c r="C365" s="8" t="s">
        <v>1358</v>
      </c>
      <c r="D365" s="8" t="s">
        <v>868</v>
      </c>
      <c r="E365" s="8" t="s">
        <v>24</v>
      </c>
      <c r="F365" s="8" t="s">
        <v>372</v>
      </c>
      <c r="G365" s="8" t="s">
        <v>54</v>
      </c>
      <c r="H365" s="8" t="s">
        <v>245</v>
      </c>
      <c r="I365" s="8" t="s">
        <v>109</v>
      </c>
      <c r="J365" s="8" t="s">
        <v>64</v>
      </c>
      <c r="K365" s="8" t="n">
        <v>5</v>
      </c>
      <c r="L365" s="8" t="n">
        <v>1003.62</v>
      </c>
      <c r="M365" s="8" t="n">
        <v>0.05</v>
      </c>
      <c r="N365" s="8" t="n">
        <v>4767.19</v>
      </c>
      <c r="O365" s="8" t="n">
        <v>508.43</v>
      </c>
    </row>
    <row r="366" customFormat="false" ht="15" hidden="false" customHeight="true" outlineLevel="0" collapsed="false">
      <c r="A366" s="8" t="s">
        <v>1359</v>
      </c>
      <c r="B366" s="8" t="s">
        <v>1360</v>
      </c>
      <c r="C366" s="8" t="s">
        <v>1361</v>
      </c>
      <c r="D366" s="8" t="s">
        <v>1362</v>
      </c>
      <c r="E366" s="8" t="s">
        <v>52</v>
      </c>
      <c r="F366" s="8" t="s">
        <v>25</v>
      </c>
      <c r="G366" s="8" t="s">
        <v>89</v>
      </c>
      <c r="H366" s="8" t="s">
        <v>245</v>
      </c>
      <c r="I366" s="8" t="s">
        <v>201</v>
      </c>
      <c r="J366" s="8" t="s">
        <v>39</v>
      </c>
      <c r="K366" s="8" t="n">
        <v>2</v>
      </c>
      <c r="L366" s="8" t="n">
        <v>659.8</v>
      </c>
      <c r="M366" s="8" t="n">
        <v>0.15</v>
      </c>
      <c r="N366" s="8" t="n">
        <v>1121.66</v>
      </c>
      <c r="O366" s="8" t="n">
        <v>238.2</v>
      </c>
    </row>
    <row r="367" customFormat="false" ht="15" hidden="false" customHeight="true" outlineLevel="0" collapsed="false">
      <c r="A367" s="8" t="s">
        <v>1363</v>
      </c>
      <c r="B367" s="8" t="s">
        <v>1364</v>
      </c>
      <c r="C367" s="8" t="s">
        <v>1365</v>
      </c>
      <c r="D367" s="8" t="s">
        <v>1065</v>
      </c>
      <c r="E367" s="8"/>
      <c r="F367" s="8" t="s">
        <v>61</v>
      </c>
      <c r="G367" s="8" t="s">
        <v>62</v>
      </c>
      <c r="H367" s="8" t="s">
        <v>359</v>
      </c>
      <c r="I367" s="8" t="s">
        <v>63</v>
      </c>
      <c r="J367" s="8" t="s">
        <v>29</v>
      </c>
      <c r="K367" s="8"/>
      <c r="L367" s="8" t="n">
        <v>188.64</v>
      </c>
      <c r="M367" s="8"/>
      <c r="N367" s="8" t="n">
        <v>188.64</v>
      </c>
      <c r="O367" s="8" t="n">
        <v>30.79</v>
      </c>
    </row>
    <row r="368" customFormat="false" ht="15" hidden="false" customHeight="true" outlineLevel="0" collapsed="false">
      <c r="A368" s="8" t="s">
        <v>1366</v>
      </c>
      <c r="B368" s="8" t="s">
        <v>1367</v>
      </c>
      <c r="C368" s="8" t="s">
        <v>1368</v>
      </c>
      <c r="D368" s="8" t="s">
        <v>1305</v>
      </c>
      <c r="E368" s="8"/>
      <c r="F368" s="8" t="s">
        <v>101</v>
      </c>
      <c r="G368" s="8" t="s">
        <v>119</v>
      </c>
      <c r="H368" s="8" t="s">
        <v>55</v>
      </c>
      <c r="I368" s="8" t="s">
        <v>133</v>
      </c>
      <c r="J368" s="8" t="s">
        <v>64</v>
      </c>
      <c r="K368" s="8" t="n">
        <v>5</v>
      </c>
      <c r="L368" s="8" t="n">
        <v>688.26</v>
      </c>
      <c r="M368" s="8"/>
      <c r="N368" s="8" t="n">
        <v>3441.3</v>
      </c>
      <c r="O368" s="8" t="n">
        <v>-193.94</v>
      </c>
    </row>
    <row r="369" customFormat="false" ht="15" hidden="false" customHeight="true" outlineLevel="0" collapsed="false">
      <c r="A369" s="8" t="s">
        <v>1369</v>
      </c>
      <c r="B369" s="8" t="s">
        <v>1370</v>
      </c>
      <c r="C369" s="8" t="s">
        <v>1371</v>
      </c>
      <c r="D369" s="8"/>
      <c r="E369" s="8" t="s">
        <v>34</v>
      </c>
      <c r="F369" s="8" t="s">
        <v>147</v>
      </c>
      <c r="G369" s="8" t="s">
        <v>326</v>
      </c>
      <c r="H369" s="8" t="s">
        <v>359</v>
      </c>
      <c r="I369" s="8" t="s">
        <v>104</v>
      </c>
      <c r="J369" s="8" t="s">
        <v>47</v>
      </c>
      <c r="K369" s="8"/>
      <c r="L369" s="8" t="n">
        <v>547.6</v>
      </c>
      <c r="M369" s="8" t="n">
        <v>0.1</v>
      </c>
      <c r="N369" s="8" t="n">
        <v>492.84</v>
      </c>
      <c r="O369" s="8" t="n">
        <v>88.74</v>
      </c>
    </row>
    <row r="370" customFormat="false" ht="15" hidden="false" customHeight="true" outlineLevel="0" collapsed="false">
      <c r="A370" s="8" t="s">
        <v>1372</v>
      </c>
      <c r="B370" s="8" t="s">
        <v>1373</v>
      </c>
      <c r="C370" s="8" t="s">
        <v>1374</v>
      </c>
      <c r="D370" s="8" t="s">
        <v>408</v>
      </c>
      <c r="E370" s="8" t="s">
        <v>52</v>
      </c>
      <c r="F370" s="8" t="s">
        <v>61</v>
      </c>
      <c r="G370" s="8" t="s">
        <v>36</v>
      </c>
      <c r="H370" s="8" t="s">
        <v>83</v>
      </c>
      <c r="I370" s="8" t="s">
        <v>404</v>
      </c>
      <c r="J370" s="8" t="s">
        <v>64</v>
      </c>
      <c r="K370" s="8" t="n">
        <v>2</v>
      </c>
      <c r="L370" s="8" t="n">
        <v>744.26</v>
      </c>
      <c r="M370" s="8" t="n">
        <v>0.05</v>
      </c>
      <c r="N370" s="8" t="n">
        <v>1414.09</v>
      </c>
      <c r="O370" s="8" t="n">
        <v>-60.93</v>
      </c>
    </row>
    <row r="371" customFormat="false" ht="15" hidden="false" customHeight="true" outlineLevel="0" collapsed="false">
      <c r="A371" s="8" t="s">
        <v>1375</v>
      </c>
      <c r="B371" s="8" t="s">
        <v>1376</v>
      </c>
      <c r="C371" s="8" t="s">
        <v>1377</v>
      </c>
      <c r="D371" s="8" t="s">
        <v>1378</v>
      </c>
      <c r="E371" s="8" t="s">
        <v>34</v>
      </c>
      <c r="F371" s="8" t="s">
        <v>229</v>
      </c>
      <c r="G371" s="8" t="s">
        <v>119</v>
      </c>
      <c r="H371" s="8" t="s">
        <v>155</v>
      </c>
      <c r="I371" s="8" t="s">
        <v>46</v>
      </c>
      <c r="J371" s="8" t="s">
        <v>64</v>
      </c>
      <c r="K371" s="8" t="n">
        <v>1</v>
      </c>
      <c r="L371" s="8" t="n">
        <v>1124.5</v>
      </c>
      <c r="M371" s="8" t="n">
        <v>0.1</v>
      </c>
      <c r="N371" s="8" t="n">
        <v>1012.05</v>
      </c>
      <c r="O371" s="8" t="n">
        <v>88.97</v>
      </c>
    </row>
    <row r="372" customFormat="false" ht="15" hidden="false" customHeight="true" outlineLevel="0" collapsed="false">
      <c r="A372" s="8" t="s">
        <v>1379</v>
      </c>
      <c r="B372" s="8" t="s">
        <v>1380</v>
      </c>
      <c r="C372" s="8" t="s">
        <v>1381</v>
      </c>
      <c r="D372" s="8" t="s">
        <v>1382</v>
      </c>
      <c r="E372" s="8" t="s">
        <v>34</v>
      </c>
      <c r="F372" s="8" t="s">
        <v>173</v>
      </c>
      <c r="G372" s="8" t="s">
        <v>182</v>
      </c>
      <c r="H372" s="8" t="s">
        <v>27</v>
      </c>
      <c r="I372" s="8" t="s">
        <v>149</v>
      </c>
      <c r="J372" s="8" t="s">
        <v>39</v>
      </c>
      <c r="K372" s="8" t="n">
        <v>2</v>
      </c>
      <c r="L372" s="8" t="n">
        <v>1022.06</v>
      </c>
      <c r="M372" s="8" t="n">
        <v>0.2</v>
      </c>
      <c r="N372" s="8" t="n">
        <v>1635.3</v>
      </c>
      <c r="O372" s="8" t="n">
        <v>236.79</v>
      </c>
    </row>
    <row r="373" customFormat="false" ht="15" hidden="false" customHeight="true" outlineLevel="0" collapsed="false">
      <c r="A373" s="8" t="s">
        <v>1383</v>
      </c>
      <c r="B373" s="8" t="s">
        <v>1384</v>
      </c>
      <c r="C373" s="8" t="s">
        <v>1116</v>
      </c>
      <c r="D373" s="8" t="s">
        <v>1385</v>
      </c>
      <c r="E373" s="8" t="s">
        <v>52</v>
      </c>
      <c r="F373" s="8" t="s">
        <v>101</v>
      </c>
      <c r="G373" s="8" t="s">
        <v>182</v>
      </c>
      <c r="H373" s="8" t="s">
        <v>103</v>
      </c>
      <c r="I373" s="8" t="s">
        <v>56</v>
      </c>
      <c r="J373" s="8" t="s">
        <v>39</v>
      </c>
      <c r="K373" s="8" t="n">
        <v>2</v>
      </c>
      <c r="L373" s="8" t="n">
        <v>983.17</v>
      </c>
      <c r="M373" s="8"/>
      <c r="N373" s="8" t="n">
        <v>1966.34</v>
      </c>
      <c r="O373" s="8" t="n">
        <v>-108.13</v>
      </c>
    </row>
    <row r="374" customFormat="false" ht="15" hidden="false" customHeight="true" outlineLevel="0" collapsed="false">
      <c r="A374" s="8" t="s">
        <v>1386</v>
      </c>
      <c r="B374" s="8" t="s">
        <v>1387</v>
      </c>
      <c r="C374" s="8" t="s">
        <v>699</v>
      </c>
      <c r="D374" s="8" t="s">
        <v>1006</v>
      </c>
      <c r="E374" s="8" t="s">
        <v>34</v>
      </c>
      <c r="F374" s="8" t="s">
        <v>101</v>
      </c>
      <c r="G374" s="8" t="s">
        <v>182</v>
      </c>
      <c r="H374" s="8" t="s">
        <v>155</v>
      </c>
      <c r="I374" s="8" t="s">
        <v>28</v>
      </c>
      <c r="J374" s="8" t="s">
        <v>29</v>
      </c>
      <c r="K374" s="8" t="n">
        <v>5</v>
      </c>
      <c r="L374" s="8" t="n">
        <v>69.68</v>
      </c>
      <c r="M374" s="8" t="n">
        <v>0.2</v>
      </c>
      <c r="N374" s="8" t="n">
        <v>278.72</v>
      </c>
      <c r="O374" s="8" t="n">
        <v>63.89</v>
      </c>
    </row>
    <row r="375" customFormat="false" ht="15" hidden="false" customHeight="true" outlineLevel="0" collapsed="false">
      <c r="A375" s="8" t="s">
        <v>1388</v>
      </c>
      <c r="B375" s="8" t="s">
        <v>973</v>
      </c>
      <c r="C375" s="8" t="s">
        <v>571</v>
      </c>
      <c r="D375" s="8" t="s">
        <v>1389</v>
      </c>
      <c r="E375" s="8" t="s">
        <v>52</v>
      </c>
      <c r="F375" s="8" t="s">
        <v>25</v>
      </c>
      <c r="G375" s="8" t="s">
        <v>82</v>
      </c>
      <c r="H375" s="8" t="s">
        <v>27</v>
      </c>
      <c r="I375" s="8" t="s">
        <v>46</v>
      </c>
      <c r="J375" s="8" t="s">
        <v>47</v>
      </c>
      <c r="K375" s="8" t="n">
        <v>3</v>
      </c>
      <c r="L375" s="8" t="n">
        <v>1091.16</v>
      </c>
      <c r="M375" s="8" t="n">
        <v>0.15</v>
      </c>
      <c r="N375" s="8" t="n">
        <v>2782.46</v>
      </c>
      <c r="O375" s="8" t="n">
        <v>-278.13</v>
      </c>
    </row>
    <row r="376" customFormat="false" ht="15" hidden="false" customHeight="true" outlineLevel="0" collapsed="false">
      <c r="A376" s="8" t="s">
        <v>1390</v>
      </c>
      <c r="B376" s="8" t="s">
        <v>1391</v>
      </c>
      <c r="C376" s="8" t="s">
        <v>1392</v>
      </c>
      <c r="D376" s="8" t="s">
        <v>1168</v>
      </c>
      <c r="E376" s="8" t="s">
        <v>24</v>
      </c>
      <c r="F376" s="8" t="s">
        <v>94</v>
      </c>
      <c r="G376" s="8" t="s">
        <v>326</v>
      </c>
      <c r="H376" s="8" t="s">
        <v>55</v>
      </c>
      <c r="I376" s="8" t="s">
        <v>104</v>
      </c>
      <c r="J376" s="8" t="s">
        <v>39</v>
      </c>
      <c r="K376" s="8" t="n">
        <v>1</v>
      </c>
      <c r="L376" s="8" t="n">
        <v>1187.2</v>
      </c>
      <c r="M376" s="8" t="n">
        <v>0.1</v>
      </c>
      <c r="N376" s="8" t="n">
        <v>1068.48</v>
      </c>
      <c r="O376" s="8" t="n">
        <v>-26.53</v>
      </c>
    </row>
    <row r="377" customFormat="false" ht="15" hidden="false" customHeight="true" outlineLevel="0" collapsed="false">
      <c r="A377" s="8" t="s">
        <v>1393</v>
      </c>
      <c r="B377" s="8" t="s">
        <v>1394</v>
      </c>
      <c r="C377" s="8" t="s">
        <v>1395</v>
      </c>
      <c r="D377" s="8" t="s">
        <v>452</v>
      </c>
      <c r="E377" s="8"/>
      <c r="F377" s="8" t="s">
        <v>25</v>
      </c>
      <c r="G377" s="8" t="s">
        <v>89</v>
      </c>
      <c r="H377" s="8" t="s">
        <v>148</v>
      </c>
      <c r="I377" s="8" t="s">
        <v>138</v>
      </c>
      <c r="J377" s="8" t="s">
        <v>29</v>
      </c>
      <c r="K377" s="8" t="n">
        <v>4</v>
      </c>
      <c r="L377" s="8" t="n">
        <v>583.66</v>
      </c>
      <c r="M377" s="8"/>
      <c r="N377" s="8" t="n">
        <v>2334.64</v>
      </c>
      <c r="O377" s="8" t="n">
        <v>141.73</v>
      </c>
    </row>
    <row r="378" customFormat="false" ht="15" hidden="false" customHeight="true" outlineLevel="0" collapsed="false">
      <c r="A378" s="8" t="s">
        <v>1396</v>
      </c>
      <c r="B378" s="8" t="s">
        <v>1397</v>
      </c>
      <c r="C378" s="8"/>
      <c r="D378" s="8"/>
      <c r="E378" s="8"/>
      <c r="F378" s="8" t="s">
        <v>200</v>
      </c>
      <c r="G378" s="8" t="s">
        <v>82</v>
      </c>
      <c r="H378" s="8" t="s">
        <v>95</v>
      </c>
      <c r="I378" s="8" t="s">
        <v>115</v>
      </c>
      <c r="J378" s="8" t="s">
        <v>47</v>
      </c>
      <c r="K378" s="8" t="n">
        <v>2</v>
      </c>
      <c r="L378" s="8" t="n">
        <v>945.91</v>
      </c>
      <c r="M378" s="8" t="n">
        <v>0</v>
      </c>
      <c r="N378" s="8" t="n">
        <v>1891.82</v>
      </c>
      <c r="O378" s="8" t="n">
        <v>-19.28</v>
      </c>
    </row>
    <row r="379" customFormat="false" ht="15" hidden="false" customHeight="true" outlineLevel="0" collapsed="false">
      <c r="A379" s="8" t="s">
        <v>1398</v>
      </c>
      <c r="B379" s="8" t="s">
        <v>1399</v>
      </c>
      <c r="C379" s="8" t="s">
        <v>179</v>
      </c>
      <c r="D379" s="8" t="s">
        <v>1400</v>
      </c>
      <c r="E379" s="8" t="s">
        <v>52</v>
      </c>
      <c r="F379" s="8" t="s">
        <v>53</v>
      </c>
      <c r="G379" s="8" t="s">
        <v>326</v>
      </c>
      <c r="H379" s="8" t="s">
        <v>27</v>
      </c>
      <c r="I379" s="8" t="s">
        <v>46</v>
      </c>
      <c r="J379" s="8" t="s">
        <v>29</v>
      </c>
      <c r="K379" s="8"/>
      <c r="L379" s="8" t="n">
        <v>1109.62</v>
      </c>
      <c r="M379" s="8"/>
      <c r="N379" s="8" t="n">
        <v>1109.62</v>
      </c>
      <c r="O379" s="8" t="n">
        <v>329.14</v>
      </c>
    </row>
    <row r="380" customFormat="false" ht="15" hidden="false" customHeight="true" outlineLevel="0" collapsed="false">
      <c r="A380" s="8" t="s">
        <v>1401</v>
      </c>
      <c r="B380" s="8" t="s">
        <v>1402</v>
      </c>
      <c r="C380" s="8" t="s">
        <v>1403</v>
      </c>
      <c r="D380" s="8" t="s">
        <v>1389</v>
      </c>
      <c r="E380" s="8"/>
      <c r="F380" s="8" t="s">
        <v>126</v>
      </c>
      <c r="G380" s="8" t="s">
        <v>82</v>
      </c>
      <c r="H380" s="8" t="s">
        <v>206</v>
      </c>
      <c r="I380" s="8" t="s">
        <v>38</v>
      </c>
      <c r="J380" s="8" t="s">
        <v>29</v>
      </c>
      <c r="K380" s="8" t="n">
        <v>2</v>
      </c>
      <c r="L380" s="8" t="n">
        <v>370.95</v>
      </c>
      <c r="M380" s="8"/>
      <c r="N380" s="8" t="n">
        <v>741.9</v>
      </c>
      <c r="O380" s="8" t="n">
        <v>180.28</v>
      </c>
    </row>
    <row r="381" customFormat="false" ht="15" hidden="false" customHeight="true" outlineLevel="0" collapsed="false">
      <c r="A381" s="8" t="s">
        <v>1404</v>
      </c>
      <c r="B381" s="8" t="s">
        <v>1405</v>
      </c>
      <c r="C381" s="8" t="s">
        <v>1406</v>
      </c>
      <c r="D381" s="8" t="s">
        <v>1407</v>
      </c>
      <c r="E381" s="8" t="s">
        <v>24</v>
      </c>
      <c r="F381" s="8" t="s">
        <v>101</v>
      </c>
      <c r="G381" s="8" t="s">
        <v>119</v>
      </c>
      <c r="H381" s="8" t="s">
        <v>83</v>
      </c>
      <c r="I381" s="8" t="s">
        <v>143</v>
      </c>
      <c r="J381" s="8" t="s">
        <v>47</v>
      </c>
      <c r="K381" s="8" t="n">
        <v>2</v>
      </c>
      <c r="L381" s="8" t="n">
        <v>333.12</v>
      </c>
      <c r="M381" s="8"/>
      <c r="N381" s="8" t="n">
        <v>666.24</v>
      </c>
      <c r="O381" s="8" t="n">
        <v>111.05</v>
      </c>
    </row>
    <row r="382" customFormat="false" ht="15" hidden="false" customHeight="true" outlineLevel="0" collapsed="false">
      <c r="A382" s="8" t="s">
        <v>1408</v>
      </c>
      <c r="B382" s="8" t="s">
        <v>940</v>
      </c>
      <c r="C382" s="8" t="s">
        <v>1409</v>
      </c>
      <c r="D382" s="8" t="s">
        <v>1410</v>
      </c>
      <c r="E382" s="8"/>
      <c r="F382" s="8" t="s">
        <v>101</v>
      </c>
      <c r="G382" s="8" t="s">
        <v>182</v>
      </c>
      <c r="H382" s="8" t="s">
        <v>191</v>
      </c>
      <c r="I382" s="8" t="s">
        <v>425</v>
      </c>
      <c r="J382" s="8" t="s">
        <v>47</v>
      </c>
      <c r="K382" s="8" t="n">
        <v>4</v>
      </c>
      <c r="L382" s="8" t="n">
        <v>407.32</v>
      </c>
      <c r="M382" s="8" t="n">
        <v>0</v>
      </c>
      <c r="N382" s="8" t="n">
        <v>1629.28</v>
      </c>
      <c r="O382" s="8" t="n">
        <v>259.36</v>
      </c>
    </row>
    <row r="383" customFormat="false" ht="15" hidden="false" customHeight="true" outlineLevel="0" collapsed="false">
      <c r="A383" s="8" t="s">
        <v>1411</v>
      </c>
      <c r="B383" s="8" t="s">
        <v>839</v>
      </c>
      <c r="C383" s="8" t="s">
        <v>1412</v>
      </c>
      <c r="D383" s="8" t="s">
        <v>1413</v>
      </c>
      <c r="E383" s="8" t="s">
        <v>34</v>
      </c>
      <c r="F383" s="8" t="s">
        <v>173</v>
      </c>
      <c r="G383" s="8" t="s">
        <v>119</v>
      </c>
      <c r="H383" s="8" t="s">
        <v>55</v>
      </c>
      <c r="I383" s="8" t="s">
        <v>241</v>
      </c>
      <c r="J383" s="8" t="s">
        <v>64</v>
      </c>
      <c r="K383" s="8" t="n">
        <v>3</v>
      </c>
      <c r="L383" s="8" t="n">
        <v>1048.06</v>
      </c>
      <c r="M383" s="8"/>
      <c r="N383" s="8" t="n">
        <v>3144.18</v>
      </c>
      <c r="O383" s="8" t="n">
        <v>405.21</v>
      </c>
    </row>
    <row r="384" customFormat="false" ht="15" hidden="false" customHeight="true" outlineLevel="0" collapsed="false">
      <c r="A384" s="8" t="s">
        <v>1414</v>
      </c>
      <c r="B384" s="8" t="s">
        <v>1415</v>
      </c>
      <c r="C384" s="8" t="s">
        <v>1416</v>
      </c>
      <c r="D384" s="8" t="s">
        <v>1061</v>
      </c>
      <c r="E384" s="8" t="s">
        <v>24</v>
      </c>
      <c r="F384" s="8" t="s">
        <v>44</v>
      </c>
      <c r="G384" s="8" t="s">
        <v>36</v>
      </c>
      <c r="H384" s="8" t="s">
        <v>27</v>
      </c>
      <c r="I384" s="8" t="s">
        <v>160</v>
      </c>
      <c r="J384" s="8" t="s">
        <v>29</v>
      </c>
      <c r="K384" s="8"/>
      <c r="L384" s="8" t="n">
        <v>1038.99</v>
      </c>
      <c r="M384" s="8" t="n">
        <v>0.15</v>
      </c>
      <c r="N384" s="8" t="n">
        <v>883.14</v>
      </c>
      <c r="O384" s="8" t="n">
        <v>6.59</v>
      </c>
    </row>
    <row r="385" customFormat="false" ht="15" hidden="false" customHeight="true" outlineLevel="0" collapsed="false">
      <c r="A385" s="8" t="s">
        <v>1417</v>
      </c>
      <c r="B385" s="8" t="s">
        <v>1418</v>
      </c>
      <c r="C385" s="8" t="s">
        <v>1419</v>
      </c>
      <c r="D385" s="8" t="s">
        <v>1420</v>
      </c>
      <c r="E385" s="8"/>
      <c r="F385" s="8" t="s">
        <v>53</v>
      </c>
      <c r="G385" s="8" t="s">
        <v>326</v>
      </c>
      <c r="H385" s="8" t="s">
        <v>103</v>
      </c>
      <c r="I385" s="8" t="s">
        <v>241</v>
      </c>
      <c r="J385" s="8" t="s">
        <v>29</v>
      </c>
      <c r="K385" s="8"/>
      <c r="L385" s="8" t="n">
        <v>1124.97</v>
      </c>
      <c r="M385" s="8"/>
      <c r="N385" s="8" t="n">
        <v>1124.97</v>
      </c>
      <c r="O385" s="8" t="n">
        <v>14.08</v>
      </c>
    </row>
    <row r="386" customFormat="false" ht="15" hidden="false" customHeight="true" outlineLevel="0" collapsed="false">
      <c r="A386" s="8" t="s">
        <v>1421</v>
      </c>
      <c r="B386" s="8" t="s">
        <v>31</v>
      </c>
      <c r="C386" s="8" t="s">
        <v>1422</v>
      </c>
      <c r="D386" s="8" t="s">
        <v>1423</v>
      </c>
      <c r="E386" s="8" t="s">
        <v>24</v>
      </c>
      <c r="F386" s="8" t="s">
        <v>69</v>
      </c>
      <c r="G386" s="8" t="s">
        <v>82</v>
      </c>
      <c r="H386" s="8" t="s">
        <v>45</v>
      </c>
      <c r="I386" s="8" t="s">
        <v>138</v>
      </c>
      <c r="J386" s="8" t="s">
        <v>47</v>
      </c>
      <c r="K386" s="8" t="n">
        <v>3</v>
      </c>
      <c r="L386" s="8" t="n">
        <v>390.51</v>
      </c>
      <c r="M386" s="8"/>
      <c r="N386" s="8" t="n">
        <v>1171.53</v>
      </c>
      <c r="O386" s="8" t="n">
        <v>-10.62</v>
      </c>
    </row>
    <row r="387" customFormat="false" ht="15" hidden="false" customHeight="true" outlineLevel="0" collapsed="false">
      <c r="A387" s="8" t="s">
        <v>1424</v>
      </c>
      <c r="B387" s="8" t="s">
        <v>435</v>
      </c>
      <c r="C387" s="8" t="s">
        <v>1425</v>
      </c>
      <c r="D387" s="8" t="s">
        <v>460</v>
      </c>
      <c r="E387" s="8" t="s">
        <v>24</v>
      </c>
      <c r="F387" s="8" t="s">
        <v>69</v>
      </c>
      <c r="G387" s="8" t="s">
        <v>89</v>
      </c>
      <c r="H387" s="8" t="s">
        <v>245</v>
      </c>
      <c r="I387" s="8" t="s">
        <v>96</v>
      </c>
      <c r="J387" s="8" t="s">
        <v>29</v>
      </c>
      <c r="K387" s="8" t="n">
        <v>5</v>
      </c>
      <c r="L387" s="8" t="n">
        <v>244.09</v>
      </c>
      <c r="M387" s="8" t="n">
        <v>0.1</v>
      </c>
      <c r="N387" s="8" t="n">
        <v>1098.4</v>
      </c>
      <c r="O387" s="8" t="n">
        <v>229.11</v>
      </c>
    </row>
    <row r="388" customFormat="false" ht="15" hidden="false" customHeight="true" outlineLevel="0" collapsed="false">
      <c r="A388" s="8" t="s">
        <v>1426</v>
      </c>
      <c r="B388" s="8" t="s">
        <v>1326</v>
      </c>
      <c r="C388" s="8" t="s">
        <v>1427</v>
      </c>
      <c r="D388" s="8" t="s">
        <v>1148</v>
      </c>
      <c r="E388" s="8" t="s">
        <v>24</v>
      </c>
      <c r="F388" s="8" t="s">
        <v>229</v>
      </c>
      <c r="G388" s="8" t="s">
        <v>182</v>
      </c>
      <c r="H388" s="8" t="s">
        <v>37</v>
      </c>
      <c r="I388" s="8" t="s">
        <v>84</v>
      </c>
      <c r="J388" s="8" t="s">
        <v>64</v>
      </c>
      <c r="K388" s="8" t="n">
        <v>5</v>
      </c>
      <c r="L388" s="8" t="n">
        <v>75.88</v>
      </c>
      <c r="M388" s="8" t="n">
        <v>0</v>
      </c>
      <c r="N388" s="8" t="n">
        <v>379.4</v>
      </c>
      <c r="O388" s="8" t="n">
        <v>-25.31</v>
      </c>
    </row>
    <row r="389" customFormat="false" ht="15" hidden="false" customHeight="true" outlineLevel="0" collapsed="false">
      <c r="A389" s="8" t="s">
        <v>1428</v>
      </c>
      <c r="B389" s="8" t="s">
        <v>1429</v>
      </c>
      <c r="C389" s="8" t="s">
        <v>721</v>
      </c>
      <c r="D389" s="8" t="s">
        <v>1430</v>
      </c>
      <c r="E389" s="8" t="s">
        <v>52</v>
      </c>
      <c r="F389" s="8" t="s">
        <v>94</v>
      </c>
      <c r="G389" s="8" t="s">
        <v>215</v>
      </c>
      <c r="H389" s="8" t="s">
        <v>55</v>
      </c>
      <c r="I389" s="8" t="s">
        <v>133</v>
      </c>
      <c r="J389" s="8" t="s">
        <v>29</v>
      </c>
      <c r="K389" s="8" t="n">
        <v>3</v>
      </c>
      <c r="L389" s="8" t="n">
        <v>783.1</v>
      </c>
      <c r="M389" s="8"/>
      <c r="N389" s="8" t="n">
        <v>2349.3</v>
      </c>
      <c r="O389" s="8" t="n">
        <v>23.95</v>
      </c>
    </row>
    <row r="390" customFormat="false" ht="15" hidden="false" customHeight="true" outlineLevel="0" collapsed="false">
      <c r="A390" s="8" t="s">
        <v>1431</v>
      </c>
      <c r="B390" s="8" t="s">
        <v>1432</v>
      </c>
      <c r="C390" s="8" t="s">
        <v>1433</v>
      </c>
      <c r="D390" s="8" t="s">
        <v>1023</v>
      </c>
      <c r="E390" s="8" t="s">
        <v>34</v>
      </c>
      <c r="F390" s="8" t="s">
        <v>35</v>
      </c>
      <c r="G390" s="8" t="s">
        <v>76</v>
      </c>
      <c r="H390" s="8" t="s">
        <v>120</v>
      </c>
      <c r="I390" s="8" t="s">
        <v>425</v>
      </c>
      <c r="J390" s="8" t="s">
        <v>39</v>
      </c>
      <c r="K390" s="8"/>
      <c r="L390" s="8" t="n">
        <v>890.13</v>
      </c>
      <c r="M390" s="8" t="n">
        <v>0.15</v>
      </c>
      <c r="N390" s="8" t="n">
        <v>756.61</v>
      </c>
      <c r="O390" s="8" t="n">
        <v>229.27</v>
      </c>
    </row>
    <row r="391" customFormat="false" ht="15" hidden="false" customHeight="true" outlineLevel="0" collapsed="false">
      <c r="A391" s="8" t="s">
        <v>1434</v>
      </c>
      <c r="B391" s="8" t="s">
        <v>1435</v>
      </c>
      <c r="C391" s="8" t="s">
        <v>1436</v>
      </c>
      <c r="D391" s="8" t="s">
        <v>1437</v>
      </c>
      <c r="E391" s="8" t="s">
        <v>24</v>
      </c>
      <c r="F391" s="8" t="s">
        <v>69</v>
      </c>
      <c r="G391" s="8" t="s">
        <v>26</v>
      </c>
      <c r="H391" s="8" t="s">
        <v>206</v>
      </c>
      <c r="I391" s="8" t="s">
        <v>404</v>
      </c>
      <c r="J391" s="8" t="s">
        <v>47</v>
      </c>
      <c r="K391" s="8" t="n">
        <v>4</v>
      </c>
      <c r="L391" s="8" t="n">
        <v>141.1</v>
      </c>
      <c r="M391" s="8" t="n">
        <v>0.2</v>
      </c>
      <c r="N391" s="8" t="n">
        <v>451.52</v>
      </c>
      <c r="O391" s="8" t="n">
        <v>116.92</v>
      </c>
    </row>
    <row r="392" customFormat="false" ht="15" hidden="false" customHeight="true" outlineLevel="0" collapsed="false">
      <c r="A392" s="8" t="s">
        <v>1438</v>
      </c>
      <c r="B392" s="8" t="s">
        <v>1439</v>
      </c>
      <c r="C392" s="8" t="s">
        <v>1440</v>
      </c>
      <c r="D392" s="8" t="s">
        <v>1441</v>
      </c>
      <c r="E392" s="8" t="s">
        <v>52</v>
      </c>
      <c r="F392" s="8" t="s">
        <v>69</v>
      </c>
      <c r="G392" s="8" t="s">
        <v>89</v>
      </c>
      <c r="H392" s="8" t="s">
        <v>95</v>
      </c>
      <c r="I392" s="8" t="s">
        <v>201</v>
      </c>
      <c r="J392" s="8" t="s">
        <v>64</v>
      </c>
      <c r="K392" s="8" t="n">
        <v>5</v>
      </c>
      <c r="L392" s="8" t="n">
        <v>482.29</v>
      </c>
      <c r="M392" s="8" t="n">
        <v>0.1</v>
      </c>
      <c r="N392" s="8" t="n">
        <v>2170.31</v>
      </c>
      <c r="O392" s="8" t="n">
        <v>418</v>
      </c>
    </row>
    <row r="393" customFormat="false" ht="15" hidden="false" customHeight="true" outlineLevel="0" collapsed="false">
      <c r="A393" s="8" t="s">
        <v>1442</v>
      </c>
      <c r="B393" s="8" t="s">
        <v>1443</v>
      </c>
      <c r="C393" s="8" t="s">
        <v>1444</v>
      </c>
      <c r="D393" s="8" t="s">
        <v>468</v>
      </c>
      <c r="E393" s="8" t="s">
        <v>52</v>
      </c>
      <c r="F393" s="8" t="s">
        <v>147</v>
      </c>
      <c r="G393" s="8" t="s">
        <v>215</v>
      </c>
      <c r="H393" s="8" t="s">
        <v>148</v>
      </c>
      <c r="I393" s="8" t="s">
        <v>160</v>
      </c>
      <c r="J393" s="8" t="s">
        <v>39</v>
      </c>
      <c r="K393" s="8" t="n">
        <v>1</v>
      </c>
      <c r="L393" s="8" t="n">
        <v>408.18</v>
      </c>
      <c r="M393" s="8" t="n">
        <v>0</v>
      </c>
      <c r="N393" s="8" t="n">
        <v>408.18</v>
      </c>
      <c r="O393" s="8" t="n">
        <v>-26.17</v>
      </c>
    </row>
    <row r="394" customFormat="false" ht="15" hidden="false" customHeight="true" outlineLevel="0" collapsed="false">
      <c r="A394" s="8" t="s">
        <v>1445</v>
      </c>
      <c r="B394" s="8" t="s">
        <v>1446</v>
      </c>
      <c r="C394" s="8" t="s">
        <v>1447</v>
      </c>
      <c r="D394" s="8" t="s">
        <v>1448</v>
      </c>
      <c r="E394" s="8" t="s">
        <v>52</v>
      </c>
      <c r="F394" s="8" t="s">
        <v>35</v>
      </c>
      <c r="G394" s="8" t="s">
        <v>76</v>
      </c>
      <c r="H394" s="8" t="s">
        <v>103</v>
      </c>
      <c r="I394" s="8" t="s">
        <v>220</v>
      </c>
      <c r="J394" s="8" t="s">
        <v>47</v>
      </c>
      <c r="K394" s="8" t="n">
        <v>4</v>
      </c>
      <c r="L394" s="8" t="n">
        <v>771.57</v>
      </c>
      <c r="M394" s="8" t="n">
        <v>0.15</v>
      </c>
      <c r="N394" s="8" t="n">
        <v>2623.34</v>
      </c>
      <c r="O394" s="8" t="n">
        <v>-134.36</v>
      </c>
    </row>
    <row r="395" customFormat="false" ht="15" hidden="false" customHeight="true" outlineLevel="0" collapsed="false">
      <c r="A395" s="8" t="s">
        <v>1449</v>
      </c>
      <c r="B395" s="8" t="s">
        <v>1450</v>
      </c>
      <c r="C395" s="8" t="s">
        <v>1451</v>
      </c>
      <c r="D395" s="8" t="s">
        <v>1031</v>
      </c>
      <c r="E395" s="8"/>
      <c r="F395" s="8" t="s">
        <v>44</v>
      </c>
      <c r="G395" s="8" t="s">
        <v>76</v>
      </c>
      <c r="H395" s="8" t="s">
        <v>95</v>
      </c>
      <c r="I395" s="8" t="s">
        <v>201</v>
      </c>
      <c r="J395" s="8" t="s">
        <v>29</v>
      </c>
      <c r="K395" s="8" t="n">
        <v>2</v>
      </c>
      <c r="L395" s="8" t="n">
        <v>499.2</v>
      </c>
      <c r="M395" s="8" t="n">
        <v>0.1</v>
      </c>
      <c r="N395" s="8" t="n">
        <v>898.56</v>
      </c>
      <c r="O395" s="8" t="n">
        <v>303.29</v>
      </c>
    </row>
    <row r="396" customFormat="false" ht="15" hidden="false" customHeight="true" outlineLevel="0" collapsed="false">
      <c r="A396" s="8" t="s">
        <v>1452</v>
      </c>
      <c r="B396" s="8" t="s">
        <v>1453</v>
      </c>
      <c r="C396" s="8" t="s">
        <v>1187</v>
      </c>
      <c r="D396" s="8" t="s">
        <v>408</v>
      </c>
      <c r="E396" s="8"/>
      <c r="F396" s="8" t="s">
        <v>69</v>
      </c>
      <c r="G396" s="8" t="s">
        <v>26</v>
      </c>
      <c r="H396" s="8" t="s">
        <v>37</v>
      </c>
      <c r="I396" s="8" t="s">
        <v>143</v>
      </c>
      <c r="J396" s="8" t="s">
        <v>29</v>
      </c>
      <c r="K396" s="8" t="n">
        <v>1</v>
      </c>
      <c r="L396" s="8" t="n">
        <v>1121.83</v>
      </c>
      <c r="M396" s="8" t="n">
        <v>0</v>
      </c>
      <c r="N396" s="8" t="n">
        <v>1121.83</v>
      </c>
      <c r="O396" s="8" t="n">
        <v>389.03</v>
      </c>
    </row>
    <row r="397" customFormat="false" ht="15" hidden="false" customHeight="true" outlineLevel="0" collapsed="false">
      <c r="A397" s="8" t="s">
        <v>1454</v>
      </c>
      <c r="B397" s="8" t="s">
        <v>827</v>
      </c>
      <c r="C397" s="8"/>
      <c r="D397" s="8" t="s">
        <v>1455</v>
      </c>
      <c r="E397" s="8"/>
      <c r="F397" s="8" t="s">
        <v>44</v>
      </c>
      <c r="G397" s="8" t="s">
        <v>76</v>
      </c>
      <c r="H397" s="8" t="s">
        <v>206</v>
      </c>
      <c r="I397" s="8" t="s">
        <v>84</v>
      </c>
      <c r="J397" s="8" t="s">
        <v>29</v>
      </c>
      <c r="K397" s="8" t="n">
        <v>1</v>
      </c>
      <c r="L397" s="8" t="n">
        <v>734.63</v>
      </c>
      <c r="M397" s="8"/>
      <c r="N397" s="8" t="n">
        <v>734.63</v>
      </c>
      <c r="O397" s="8" t="n">
        <v>38.8</v>
      </c>
    </row>
    <row r="398" customFormat="false" ht="15" hidden="false" customHeight="true" outlineLevel="0" collapsed="false">
      <c r="A398" s="8" t="s">
        <v>1456</v>
      </c>
      <c r="B398" s="8" t="s">
        <v>1457</v>
      </c>
      <c r="C398" s="8" t="s">
        <v>1458</v>
      </c>
      <c r="D398" s="8" t="s">
        <v>1459</v>
      </c>
      <c r="E398" s="8" t="s">
        <v>34</v>
      </c>
      <c r="F398" s="8" t="s">
        <v>229</v>
      </c>
      <c r="G398" s="8" t="s">
        <v>182</v>
      </c>
      <c r="H398" s="8" t="s">
        <v>70</v>
      </c>
      <c r="I398" s="8" t="s">
        <v>78</v>
      </c>
      <c r="J398" s="8" t="s">
        <v>39</v>
      </c>
      <c r="K398" s="8" t="n">
        <v>5</v>
      </c>
      <c r="L398" s="8" t="n">
        <v>677.19</v>
      </c>
      <c r="M398" s="8" t="n">
        <v>0.15</v>
      </c>
      <c r="N398" s="8" t="n">
        <v>2878.06</v>
      </c>
      <c r="O398" s="8" t="n">
        <v>302.05</v>
      </c>
    </row>
    <row r="399" customFormat="false" ht="15" hidden="false" customHeight="true" outlineLevel="0" collapsed="false">
      <c r="A399" s="8" t="s">
        <v>1460</v>
      </c>
      <c r="B399" s="8" t="s">
        <v>687</v>
      </c>
      <c r="C399" s="8" t="s">
        <v>1461</v>
      </c>
      <c r="D399" s="8" t="s">
        <v>817</v>
      </c>
      <c r="E399" s="8"/>
      <c r="F399" s="8" t="s">
        <v>35</v>
      </c>
      <c r="G399" s="8" t="s">
        <v>36</v>
      </c>
      <c r="H399" s="8" t="s">
        <v>191</v>
      </c>
      <c r="I399" s="8" t="s">
        <v>127</v>
      </c>
      <c r="J399" s="8" t="s">
        <v>29</v>
      </c>
      <c r="K399" s="8" t="n">
        <v>2</v>
      </c>
      <c r="L399" s="8" t="n">
        <v>87.31</v>
      </c>
      <c r="M399" s="8" t="n">
        <v>0.05</v>
      </c>
      <c r="N399" s="8" t="n">
        <v>165.89</v>
      </c>
      <c r="O399" s="8" t="n">
        <v>-2.74</v>
      </c>
    </row>
    <row r="400" customFormat="false" ht="15" hidden="false" customHeight="true" outlineLevel="0" collapsed="false">
      <c r="A400" s="8" t="s">
        <v>1462</v>
      </c>
      <c r="B400" s="8" t="s">
        <v>1463</v>
      </c>
      <c r="C400" s="8" t="s">
        <v>1464</v>
      </c>
      <c r="D400" s="8" t="s">
        <v>1465</v>
      </c>
      <c r="E400" s="8" t="s">
        <v>52</v>
      </c>
      <c r="F400" s="8" t="s">
        <v>61</v>
      </c>
      <c r="G400" s="8" t="s">
        <v>62</v>
      </c>
      <c r="H400" s="8" t="s">
        <v>191</v>
      </c>
      <c r="I400" s="8" t="s">
        <v>425</v>
      </c>
      <c r="J400" s="8" t="s">
        <v>29</v>
      </c>
      <c r="K400" s="8" t="n">
        <v>1</v>
      </c>
      <c r="L400" s="8" t="n">
        <v>871.19</v>
      </c>
      <c r="M400" s="8" t="n">
        <v>0.2</v>
      </c>
      <c r="N400" s="8" t="n">
        <v>696.95</v>
      </c>
      <c r="O400" s="8" t="n">
        <v>-23.93</v>
      </c>
    </row>
    <row r="401" customFormat="false" ht="15" hidden="false" customHeight="true" outlineLevel="0" collapsed="false">
      <c r="A401" s="8" t="s">
        <v>1466</v>
      </c>
      <c r="B401" s="8" t="s">
        <v>1467</v>
      </c>
      <c r="C401" s="8" t="s">
        <v>1468</v>
      </c>
      <c r="D401" s="8" t="s">
        <v>1469</v>
      </c>
      <c r="E401" s="8" t="s">
        <v>34</v>
      </c>
      <c r="F401" s="8" t="s">
        <v>25</v>
      </c>
      <c r="G401" s="8" t="s">
        <v>82</v>
      </c>
      <c r="H401" s="8" t="s">
        <v>245</v>
      </c>
      <c r="I401" s="8" t="s">
        <v>115</v>
      </c>
      <c r="J401" s="8" t="s">
        <v>64</v>
      </c>
      <c r="K401" s="8" t="n">
        <v>5</v>
      </c>
      <c r="L401" s="8" t="n">
        <v>88.18</v>
      </c>
      <c r="M401" s="8" t="n">
        <v>0</v>
      </c>
      <c r="N401" s="8" t="n">
        <v>440.9</v>
      </c>
      <c r="O401" s="8" t="n">
        <v>-0.91</v>
      </c>
    </row>
    <row r="402" customFormat="false" ht="15" hidden="false" customHeight="true" outlineLevel="0" collapsed="false">
      <c r="A402" s="8" t="s">
        <v>1470</v>
      </c>
      <c r="B402" s="8" t="s">
        <v>1471</v>
      </c>
      <c r="C402" s="8" t="s">
        <v>1472</v>
      </c>
      <c r="D402" s="8" t="s">
        <v>986</v>
      </c>
      <c r="E402" s="8"/>
      <c r="F402" s="8" t="s">
        <v>147</v>
      </c>
      <c r="G402" s="8" t="s">
        <v>326</v>
      </c>
      <c r="H402" s="8" t="s">
        <v>280</v>
      </c>
      <c r="I402" s="8" t="s">
        <v>201</v>
      </c>
      <c r="J402" s="8" t="s">
        <v>29</v>
      </c>
      <c r="K402" s="8" t="n">
        <v>5</v>
      </c>
      <c r="L402" s="8" t="n">
        <v>819.92</v>
      </c>
      <c r="M402" s="8"/>
      <c r="N402" s="8" t="n">
        <v>4099.6</v>
      </c>
      <c r="O402" s="8" t="n">
        <v>-155.8</v>
      </c>
    </row>
    <row r="403" customFormat="false" ht="15" hidden="false" customHeight="true" outlineLevel="0" collapsed="false">
      <c r="A403" s="8" t="s">
        <v>1473</v>
      </c>
      <c r="B403" s="8" t="s">
        <v>1474</v>
      </c>
      <c r="C403" s="8" t="s">
        <v>1475</v>
      </c>
      <c r="D403" s="8" t="s">
        <v>1476</v>
      </c>
      <c r="E403" s="8"/>
      <c r="F403" s="8" t="s">
        <v>173</v>
      </c>
      <c r="G403" s="8" t="s">
        <v>119</v>
      </c>
      <c r="H403" s="8" t="s">
        <v>191</v>
      </c>
      <c r="I403" s="8" t="s">
        <v>425</v>
      </c>
      <c r="J403" s="8" t="s">
        <v>47</v>
      </c>
      <c r="K403" s="8"/>
      <c r="L403" s="8" t="n">
        <v>365.13</v>
      </c>
      <c r="M403" s="8"/>
      <c r="N403" s="8" t="n">
        <v>365.13</v>
      </c>
      <c r="O403" s="8" t="n">
        <v>10.94</v>
      </c>
    </row>
    <row r="404" customFormat="false" ht="15" hidden="false" customHeight="true" outlineLevel="0" collapsed="false">
      <c r="A404" s="8" t="s">
        <v>1477</v>
      </c>
      <c r="B404" s="8" t="s">
        <v>676</v>
      </c>
      <c r="C404" s="8" t="s">
        <v>1478</v>
      </c>
      <c r="D404" s="8" t="s">
        <v>1479</v>
      </c>
      <c r="E404" s="8" t="s">
        <v>52</v>
      </c>
      <c r="F404" s="8" t="s">
        <v>126</v>
      </c>
      <c r="G404" s="8" t="s">
        <v>82</v>
      </c>
      <c r="H404" s="8" t="s">
        <v>148</v>
      </c>
      <c r="I404" s="8" t="s">
        <v>28</v>
      </c>
      <c r="J404" s="8" t="s">
        <v>64</v>
      </c>
      <c r="K404" s="8"/>
      <c r="L404" s="8" t="n">
        <v>968.44</v>
      </c>
      <c r="M404" s="8" t="n">
        <v>0.1</v>
      </c>
      <c r="N404" s="8" t="n">
        <v>871.6</v>
      </c>
      <c r="O404" s="8" t="n">
        <v>138.24</v>
      </c>
    </row>
    <row r="405" customFormat="false" ht="15" hidden="false" customHeight="true" outlineLevel="0" collapsed="false">
      <c r="A405" s="8" t="s">
        <v>1480</v>
      </c>
      <c r="B405" s="8" t="s">
        <v>1481</v>
      </c>
      <c r="C405" s="8" t="s">
        <v>1482</v>
      </c>
      <c r="D405" s="8" t="s">
        <v>1483</v>
      </c>
      <c r="E405" s="8"/>
      <c r="F405" s="8" t="s">
        <v>61</v>
      </c>
      <c r="G405" s="8" t="s">
        <v>36</v>
      </c>
      <c r="H405" s="8" t="s">
        <v>77</v>
      </c>
      <c r="I405" s="8" t="s">
        <v>78</v>
      </c>
      <c r="J405" s="8" t="s">
        <v>64</v>
      </c>
      <c r="K405" s="8" t="n">
        <v>3</v>
      </c>
      <c r="L405" s="8" t="n">
        <v>1054.78</v>
      </c>
      <c r="M405" s="8" t="n">
        <v>0</v>
      </c>
      <c r="N405" s="8" t="n">
        <v>3164.34</v>
      </c>
      <c r="O405" s="8" t="n">
        <v>894.88</v>
      </c>
    </row>
    <row r="406" customFormat="false" ht="15" hidden="false" customHeight="true" outlineLevel="0" collapsed="false">
      <c r="A406" s="8" t="s">
        <v>1484</v>
      </c>
      <c r="B406" s="8" t="s">
        <v>1485</v>
      </c>
      <c r="C406" s="8" t="s">
        <v>1129</v>
      </c>
      <c r="D406" s="8" t="s">
        <v>1486</v>
      </c>
      <c r="E406" s="8" t="s">
        <v>24</v>
      </c>
      <c r="F406" s="8" t="s">
        <v>25</v>
      </c>
      <c r="G406" s="8" t="s">
        <v>26</v>
      </c>
      <c r="H406" s="8" t="s">
        <v>132</v>
      </c>
      <c r="I406" s="8" t="s">
        <v>220</v>
      </c>
      <c r="J406" s="8" t="s">
        <v>64</v>
      </c>
      <c r="K406" s="8" t="n">
        <v>2</v>
      </c>
      <c r="L406" s="8" t="n">
        <v>498.32</v>
      </c>
      <c r="M406" s="8" t="n">
        <v>0.1</v>
      </c>
      <c r="N406" s="8" t="n">
        <v>896.98</v>
      </c>
      <c r="O406" s="8" t="n">
        <v>115.6</v>
      </c>
    </row>
    <row r="407" customFormat="false" ht="15" hidden="false" customHeight="true" outlineLevel="0" collapsed="false">
      <c r="A407" s="8" t="s">
        <v>1487</v>
      </c>
      <c r="B407" s="8" t="s">
        <v>1488</v>
      </c>
      <c r="C407" s="8" t="s">
        <v>1489</v>
      </c>
      <c r="D407" s="8"/>
      <c r="E407" s="8" t="s">
        <v>52</v>
      </c>
      <c r="F407" s="8" t="s">
        <v>229</v>
      </c>
      <c r="G407" s="8" t="s">
        <v>182</v>
      </c>
      <c r="H407" s="8" t="s">
        <v>95</v>
      </c>
      <c r="I407" s="8" t="s">
        <v>109</v>
      </c>
      <c r="J407" s="8" t="s">
        <v>39</v>
      </c>
      <c r="K407" s="8" t="n">
        <v>4</v>
      </c>
      <c r="L407" s="8" t="n">
        <v>968.42</v>
      </c>
      <c r="M407" s="8"/>
      <c r="N407" s="8" t="n">
        <v>3873.68</v>
      </c>
      <c r="O407" s="8" t="n">
        <v>595.09</v>
      </c>
    </row>
    <row r="408" customFormat="false" ht="15" hidden="false" customHeight="true" outlineLevel="0" collapsed="false">
      <c r="A408" s="8" t="s">
        <v>1490</v>
      </c>
      <c r="B408" s="8" t="s">
        <v>1491</v>
      </c>
      <c r="C408" s="8" t="s">
        <v>804</v>
      </c>
      <c r="D408" s="8" t="s">
        <v>1492</v>
      </c>
      <c r="E408" s="8" t="s">
        <v>34</v>
      </c>
      <c r="F408" s="8" t="s">
        <v>69</v>
      </c>
      <c r="G408" s="8" t="s">
        <v>82</v>
      </c>
      <c r="H408" s="8" t="s">
        <v>191</v>
      </c>
      <c r="I408" s="8" t="s">
        <v>127</v>
      </c>
      <c r="J408" s="8" t="s">
        <v>64</v>
      </c>
      <c r="K408" s="8" t="n">
        <v>4</v>
      </c>
      <c r="L408" s="8" t="n">
        <v>1128.23</v>
      </c>
      <c r="M408" s="8" t="n">
        <v>0.1</v>
      </c>
      <c r="N408" s="8" t="n">
        <v>4061.63</v>
      </c>
      <c r="O408" s="8" t="n">
        <v>608.25</v>
      </c>
    </row>
    <row r="409" customFormat="false" ht="15" hidden="false" customHeight="true" outlineLevel="0" collapsed="false">
      <c r="A409" s="8" t="s">
        <v>1493</v>
      </c>
      <c r="B409" s="8" t="s">
        <v>552</v>
      </c>
      <c r="C409" s="8" t="s">
        <v>1494</v>
      </c>
      <c r="D409" s="8" t="s">
        <v>1495</v>
      </c>
      <c r="E409" s="8"/>
      <c r="F409" s="8" t="s">
        <v>25</v>
      </c>
      <c r="G409" s="8" t="s">
        <v>82</v>
      </c>
      <c r="H409" s="8" t="s">
        <v>148</v>
      </c>
      <c r="I409" s="8" t="s">
        <v>46</v>
      </c>
      <c r="J409" s="8" t="s">
        <v>39</v>
      </c>
      <c r="K409" s="8" t="n">
        <v>4</v>
      </c>
      <c r="L409" s="8" t="n">
        <v>652.04</v>
      </c>
      <c r="M409" s="8" t="n">
        <v>0.15</v>
      </c>
      <c r="N409" s="8" t="n">
        <v>2216.94</v>
      </c>
      <c r="O409" s="8" t="n">
        <v>309.28</v>
      </c>
    </row>
    <row r="410" customFormat="false" ht="15" hidden="false" customHeight="true" outlineLevel="0" collapsed="false">
      <c r="A410" s="8" t="s">
        <v>1496</v>
      </c>
      <c r="B410" s="8" t="s">
        <v>1497</v>
      </c>
      <c r="C410" s="8" t="s">
        <v>1498</v>
      </c>
      <c r="D410" s="8" t="s">
        <v>1499</v>
      </c>
      <c r="E410" s="8" t="s">
        <v>52</v>
      </c>
      <c r="F410" s="8" t="s">
        <v>372</v>
      </c>
      <c r="G410" s="8" t="s">
        <v>54</v>
      </c>
      <c r="H410" s="8" t="s">
        <v>114</v>
      </c>
      <c r="I410" s="8" t="s">
        <v>115</v>
      </c>
      <c r="J410" s="8" t="s">
        <v>29</v>
      </c>
      <c r="K410" s="8" t="n">
        <v>4</v>
      </c>
      <c r="L410" s="8" t="n">
        <v>294.49</v>
      </c>
      <c r="M410" s="8" t="n">
        <v>0.2</v>
      </c>
      <c r="N410" s="8" t="n">
        <v>14135.55</v>
      </c>
      <c r="O410" s="8" t="n">
        <v>93.35</v>
      </c>
    </row>
    <row r="411" customFormat="false" ht="15" hidden="false" customHeight="true" outlineLevel="0" collapsed="false">
      <c r="A411" s="8" t="s">
        <v>1500</v>
      </c>
      <c r="B411" s="8" t="s">
        <v>1501</v>
      </c>
      <c r="C411" s="8" t="s">
        <v>1502</v>
      </c>
      <c r="D411" s="8" t="s">
        <v>719</v>
      </c>
      <c r="E411" s="8" t="s">
        <v>24</v>
      </c>
      <c r="F411" s="8" t="s">
        <v>372</v>
      </c>
      <c r="G411" s="8" t="s">
        <v>326</v>
      </c>
      <c r="H411" s="8" t="s">
        <v>206</v>
      </c>
      <c r="I411" s="8" t="s">
        <v>38</v>
      </c>
      <c r="J411" s="8" t="s">
        <v>29</v>
      </c>
      <c r="K411" s="8" t="n">
        <v>2</v>
      </c>
      <c r="L411" s="8" t="n">
        <v>518.72</v>
      </c>
      <c r="M411" s="8" t="n">
        <v>0.2</v>
      </c>
      <c r="N411" s="8" t="n">
        <v>829.95</v>
      </c>
      <c r="O411" s="8" t="n">
        <v>-51.33</v>
      </c>
    </row>
    <row r="412" customFormat="false" ht="15" hidden="false" customHeight="true" outlineLevel="0" collapsed="false">
      <c r="A412" s="8" t="s">
        <v>1503</v>
      </c>
      <c r="B412" s="8" t="s">
        <v>1504</v>
      </c>
      <c r="C412" s="8" t="s">
        <v>1505</v>
      </c>
      <c r="D412" s="8" t="s">
        <v>240</v>
      </c>
      <c r="E412" s="8" t="s">
        <v>34</v>
      </c>
      <c r="F412" s="8" t="s">
        <v>101</v>
      </c>
      <c r="G412" s="8" t="s">
        <v>119</v>
      </c>
      <c r="H412" s="8" t="s">
        <v>77</v>
      </c>
      <c r="I412" s="8" t="s">
        <v>127</v>
      </c>
      <c r="J412" s="8" t="s">
        <v>64</v>
      </c>
      <c r="K412" s="8" t="n">
        <v>1</v>
      </c>
      <c r="L412" s="8" t="n">
        <v>333.58</v>
      </c>
      <c r="M412" s="8" t="n">
        <v>0.05</v>
      </c>
      <c r="N412" s="8" t="n">
        <v>316.9</v>
      </c>
      <c r="O412" s="8" t="n">
        <v>-11.46</v>
      </c>
    </row>
    <row r="413" customFormat="false" ht="15" hidden="false" customHeight="true" outlineLevel="0" collapsed="false">
      <c r="A413" s="8" t="s">
        <v>1506</v>
      </c>
      <c r="B413" s="8" t="s">
        <v>1507</v>
      </c>
      <c r="C413" s="8" t="s">
        <v>1508</v>
      </c>
      <c r="D413" s="8" t="s">
        <v>1509</v>
      </c>
      <c r="E413" s="8" t="s">
        <v>34</v>
      </c>
      <c r="F413" s="8" t="s">
        <v>147</v>
      </c>
      <c r="G413" s="8" t="s">
        <v>215</v>
      </c>
      <c r="H413" s="8" t="s">
        <v>148</v>
      </c>
      <c r="I413" s="8" t="s">
        <v>160</v>
      </c>
      <c r="J413" s="8" t="s">
        <v>29</v>
      </c>
      <c r="K413" s="8" t="n">
        <v>2</v>
      </c>
      <c r="L413" s="8" t="n">
        <v>336.57</v>
      </c>
      <c r="M413" s="8" t="n">
        <v>0.1</v>
      </c>
      <c r="N413" s="8" t="n">
        <v>605.83</v>
      </c>
      <c r="O413" s="8" t="n">
        <v>129.89</v>
      </c>
    </row>
    <row r="414" customFormat="false" ht="15" hidden="false" customHeight="true" outlineLevel="0" collapsed="false">
      <c r="A414" s="8" t="s">
        <v>1510</v>
      </c>
      <c r="B414" s="8" t="s">
        <v>1511</v>
      </c>
      <c r="C414" s="8" t="s">
        <v>1512</v>
      </c>
      <c r="D414" s="8" t="s">
        <v>1513</v>
      </c>
      <c r="E414" s="8" t="s">
        <v>52</v>
      </c>
      <c r="F414" s="8" t="s">
        <v>200</v>
      </c>
      <c r="G414" s="8" t="s">
        <v>82</v>
      </c>
      <c r="H414" s="8" t="s">
        <v>120</v>
      </c>
      <c r="I414" s="8" t="s">
        <v>71</v>
      </c>
      <c r="J414" s="8" t="s">
        <v>39</v>
      </c>
      <c r="K414" s="8" t="n">
        <v>2</v>
      </c>
      <c r="L414" s="8" t="n">
        <v>415.08</v>
      </c>
      <c r="M414" s="8"/>
      <c r="N414" s="8" t="n">
        <v>830.16</v>
      </c>
      <c r="O414" s="8" t="n">
        <v>231.02</v>
      </c>
    </row>
    <row r="415" customFormat="false" ht="15" hidden="false" customHeight="true" outlineLevel="0" collapsed="false">
      <c r="A415" s="8" t="s">
        <v>1514</v>
      </c>
      <c r="B415" s="8" t="s">
        <v>1515</v>
      </c>
      <c r="C415" s="8" t="s">
        <v>1516</v>
      </c>
      <c r="D415" s="8"/>
      <c r="E415" s="8" t="s">
        <v>34</v>
      </c>
      <c r="F415" s="8" t="s">
        <v>229</v>
      </c>
      <c r="G415" s="8" t="s">
        <v>182</v>
      </c>
      <c r="H415" s="8" t="s">
        <v>359</v>
      </c>
      <c r="I415" s="8" t="s">
        <v>133</v>
      </c>
      <c r="J415" s="8" t="s">
        <v>29</v>
      </c>
      <c r="K415" s="8" t="n">
        <v>1</v>
      </c>
      <c r="L415" s="8" t="n">
        <v>527.72</v>
      </c>
      <c r="M415" s="8"/>
      <c r="N415" s="8" t="n">
        <v>527.72</v>
      </c>
      <c r="O415" s="8" t="n">
        <v>38.04</v>
      </c>
    </row>
    <row r="416" customFormat="false" ht="15" hidden="false" customHeight="true" outlineLevel="0" collapsed="false">
      <c r="A416" s="8" t="s">
        <v>1517</v>
      </c>
      <c r="B416" s="8" t="s">
        <v>783</v>
      </c>
      <c r="C416" s="8" t="s">
        <v>1518</v>
      </c>
      <c r="D416" s="8" t="s">
        <v>1519</v>
      </c>
      <c r="E416" s="8" t="s">
        <v>24</v>
      </c>
      <c r="F416" s="8" t="s">
        <v>53</v>
      </c>
      <c r="G416" s="8" t="s">
        <v>54</v>
      </c>
      <c r="H416" s="8" t="s">
        <v>37</v>
      </c>
      <c r="I416" s="8" t="s">
        <v>38</v>
      </c>
      <c r="J416" s="8" t="s">
        <v>47</v>
      </c>
      <c r="K416" s="8" t="n">
        <v>5</v>
      </c>
      <c r="L416" s="8" t="n">
        <v>765.32</v>
      </c>
      <c r="M416" s="8" t="n">
        <v>0.1</v>
      </c>
      <c r="N416" s="8" t="n">
        <v>3443.94</v>
      </c>
      <c r="O416" s="8" t="n">
        <v>583.55</v>
      </c>
    </row>
    <row r="417" customFormat="false" ht="15" hidden="false" customHeight="true" outlineLevel="0" collapsed="false">
      <c r="A417" s="8" t="s">
        <v>1520</v>
      </c>
      <c r="B417" s="8" t="s">
        <v>1054</v>
      </c>
      <c r="C417" s="8" t="s">
        <v>1521</v>
      </c>
      <c r="D417" s="8" t="s">
        <v>1522</v>
      </c>
      <c r="E417" s="8"/>
      <c r="F417" s="8" t="s">
        <v>94</v>
      </c>
      <c r="G417" s="8" t="s">
        <v>215</v>
      </c>
      <c r="H417" s="8" t="s">
        <v>359</v>
      </c>
      <c r="I417" s="8" t="s">
        <v>220</v>
      </c>
      <c r="J417" s="8" t="s">
        <v>64</v>
      </c>
      <c r="K417" s="8" t="n">
        <v>2</v>
      </c>
      <c r="L417" s="8" t="n">
        <v>567.76</v>
      </c>
      <c r="M417" s="8" t="n">
        <v>0.1</v>
      </c>
      <c r="N417" s="8" t="n">
        <v>1021.97</v>
      </c>
      <c r="O417" s="8" t="n">
        <v>347.35</v>
      </c>
    </row>
    <row r="418" customFormat="false" ht="15" hidden="false" customHeight="true" outlineLevel="0" collapsed="false">
      <c r="A418" s="8" t="s">
        <v>1523</v>
      </c>
      <c r="B418" s="8" t="s">
        <v>1524</v>
      </c>
      <c r="C418" s="8" t="s">
        <v>1525</v>
      </c>
      <c r="D418" s="8"/>
      <c r="E418" s="8" t="s">
        <v>24</v>
      </c>
      <c r="F418" s="8" t="s">
        <v>61</v>
      </c>
      <c r="G418" s="8" t="s">
        <v>36</v>
      </c>
      <c r="H418" s="8" t="s">
        <v>77</v>
      </c>
      <c r="I418" s="8" t="s">
        <v>71</v>
      </c>
      <c r="J418" s="8" t="s">
        <v>47</v>
      </c>
      <c r="K418" s="8" t="n">
        <v>5</v>
      </c>
      <c r="L418" s="8" t="n">
        <v>662.29</v>
      </c>
      <c r="M418" s="8" t="n">
        <v>0</v>
      </c>
      <c r="N418" s="8" t="n">
        <v>3311.45</v>
      </c>
      <c r="O418" s="8" t="n">
        <v>401.21</v>
      </c>
    </row>
    <row r="419" customFormat="false" ht="15" hidden="false" customHeight="true" outlineLevel="0" collapsed="false">
      <c r="A419" s="8" t="s">
        <v>1526</v>
      </c>
      <c r="B419" s="8" t="s">
        <v>815</v>
      </c>
      <c r="C419" s="8" t="s">
        <v>816</v>
      </c>
      <c r="D419" s="8" t="s">
        <v>813</v>
      </c>
      <c r="E419" s="8" t="s">
        <v>24</v>
      </c>
      <c r="F419" s="8" t="s">
        <v>35</v>
      </c>
      <c r="G419" s="8" t="s">
        <v>62</v>
      </c>
      <c r="H419" s="8" t="s">
        <v>27</v>
      </c>
      <c r="I419" s="8" t="s">
        <v>28</v>
      </c>
      <c r="J419" s="8" t="s">
        <v>29</v>
      </c>
      <c r="K419" s="8" t="n">
        <v>3</v>
      </c>
      <c r="L419" s="8" t="n">
        <v>1071.99</v>
      </c>
      <c r="M419" s="8" t="n">
        <v>0.15</v>
      </c>
      <c r="N419" s="8" t="n">
        <v>2733.57</v>
      </c>
      <c r="O419" s="8" t="n">
        <v>619.96</v>
      </c>
    </row>
    <row r="420" customFormat="false" ht="15" hidden="false" customHeight="true" outlineLevel="0" collapsed="false">
      <c r="A420" s="8" t="s">
        <v>1527</v>
      </c>
      <c r="B420" s="8" t="s">
        <v>1528</v>
      </c>
      <c r="C420" s="8"/>
      <c r="D420" s="8" t="s">
        <v>1529</v>
      </c>
      <c r="E420" s="8"/>
      <c r="F420" s="8" t="s">
        <v>69</v>
      </c>
      <c r="G420" s="8" t="s">
        <v>26</v>
      </c>
      <c r="H420" s="8" t="s">
        <v>142</v>
      </c>
      <c r="I420" s="8" t="s">
        <v>38</v>
      </c>
      <c r="J420" s="8" t="s">
        <v>47</v>
      </c>
      <c r="K420" s="8" t="n">
        <v>4</v>
      </c>
      <c r="L420" s="8" t="n">
        <v>639.17</v>
      </c>
      <c r="M420" s="8" t="n">
        <v>0.2</v>
      </c>
      <c r="N420" s="8" t="n">
        <v>2045.34</v>
      </c>
      <c r="O420" s="8" t="n">
        <v>435.24</v>
      </c>
    </row>
    <row r="421" customFormat="false" ht="15" hidden="false" customHeight="true" outlineLevel="0" collapsed="false">
      <c r="A421" s="8" t="s">
        <v>1530</v>
      </c>
      <c r="B421" s="8" t="s">
        <v>1277</v>
      </c>
      <c r="C421" s="8" t="s">
        <v>1531</v>
      </c>
      <c r="D421" s="8" t="s">
        <v>1532</v>
      </c>
      <c r="E421" s="8" t="s">
        <v>52</v>
      </c>
      <c r="F421" s="8" t="s">
        <v>200</v>
      </c>
      <c r="G421" s="8" t="s">
        <v>26</v>
      </c>
      <c r="H421" s="8" t="s">
        <v>120</v>
      </c>
      <c r="I421" s="8" t="s">
        <v>425</v>
      </c>
      <c r="J421" s="8" t="s">
        <v>29</v>
      </c>
      <c r="K421" s="8" t="n">
        <v>2</v>
      </c>
      <c r="L421" s="8" t="n">
        <v>497.73</v>
      </c>
      <c r="M421" s="8"/>
      <c r="N421" s="8" t="n">
        <v>995.46</v>
      </c>
      <c r="O421" s="8" t="n">
        <v>93.66</v>
      </c>
    </row>
    <row r="422" customFormat="false" ht="15" hidden="false" customHeight="true" outlineLevel="0" collapsed="false">
      <c r="A422" s="8" t="s">
        <v>1533</v>
      </c>
      <c r="B422" s="8" t="s">
        <v>1534</v>
      </c>
      <c r="C422" s="8" t="s">
        <v>1535</v>
      </c>
      <c r="D422" s="8" t="s">
        <v>1536</v>
      </c>
      <c r="E422" s="8" t="s">
        <v>52</v>
      </c>
      <c r="F422" s="8" t="s">
        <v>101</v>
      </c>
      <c r="G422" s="8" t="s">
        <v>182</v>
      </c>
      <c r="H422" s="8" t="s">
        <v>148</v>
      </c>
      <c r="I422" s="8" t="s">
        <v>149</v>
      </c>
      <c r="J422" s="8" t="s">
        <v>39</v>
      </c>
      <c r="K422" s="8" t="n">
        <v>1</v>
      </c>
      <c r="L422" s="8" t="n">
        <v>1104.92</v>
      </c>
      <c r="M422" s="8" t="n">
        <v>0.15</v>
      </c>
      <c r="N422" s="8" t="n">
        <v>939.18</v>
      </c>
      <c r="O422" s="8" t="n">
        <v>204.23</v>
      </c>
    </row>
    <row r="423" customFormat="false" ht="15" hidden="false" customHeight="true" outlineLevel="0" collapsed="false">
      <c r="A423" s="8" t="s">
        <v>1537</v>
      </c>
      <c r="B423" s="8" t="s">
        <v>1538</v>
      </c>
      <c r="C423" s="8" t="s">
        <v>1539</v>
      </c>
      <c r="D423" s="8" t="s">
        <v>1540</v>
      </c>
      <c r="E423" s="8" t="s">
        <v>34</v>
      </c>
      <c r="F423" s="8" t="s">
        <v>94</v>
      </c>
      <c r="G423" s="8" t="s">
        <v>215</v>
      </c>
      <c r="H423" s="8" t="s">
        <v>191</v>
      </c>
      <c r="I423" s="8" t="s">
        <v>127</v>
      </c>
      <c r="J423" s="8" t="s">
        <v>39</v>
      </c>
      <c r="K423" s="8" t="n">
        <v>5</v>
      </c>
      <c r="L423" s="8" t="n">
        <v>403.3</v>
      </c>
      <c r="M423" s="8"/>
      <c r="N423" s="8" t="n">
        <v>2016.5</v>
      </c>
      <c r="O423" s="8" t="n">
        <v>-121.74</v>
      </c>
    </row>
    <row r="424" customFormat="false" ht="15" hidden="false" customHeight="true" outlineLevel="0" collapsed="false">
      <c r="A424" s="8" t="s">
        <v>1541</v>
      </c>
      <c r="B424" s="8" t="s">
        <v>248</v>
      </c>
      <c r="C424" s="8" t="s">
        <v>1542</v>
      </c>
      <c r="D424" s="8" t="s">
        <v>1543</v>
      </c>
      <c r="E424" s="8" t="s">
        <v>52</v>
      </c>
      <c r="F424" s="8" t="s">
        <v>229</v>
      </c>
      <c r="G424" s="8" t="s">
        <v>119</v>
      </c>
      <c r="H424" s="8" t="s">
        <v>148</v>
      </c>
      <c r="I424" s="8" t="s">
        <v>28</v>
      </c>
      <c r="J424" s="8" t="s">
        <v>29</v>
      </c>
      <c r="K424" s="8" t="n">
        <v>2</v>
      </c>
      <c r="L424" s="8" t="n">
        <v>71.81</v>
      </c>
      <c r="M424" s="8" t="n">
        <v>0.1</v>
      </c>
      <c r="N424" s="8" t="n">
        <v>129.26</v>
      </c>
      <c r="O424" s="8" t="n">
        <v>-0.33</v>
      </c>
    </row>
    <row r="425" customFormat="false" ht="15" hidden="false" customHeight="true" outlineLevel="0" collapsed="false">
      <c r="A425" s="8" t="s">
        <v>1544</v>
      </c>
      <c r="B425" s="8" t="s">
        <v>1545</v>
      </c>
      <c r="C425" s="8" t="s">
        <v>1546</v>
      </c>
      <c r="D425" s="8" t="s">
        <v>1547</v>
      </c>
      <c r="E425" s="8" t="s">
        <v>24</v>
      </c>
      <c r="F425" s="8" t="s">
        <v>101</v>
      </c>
      <c r="G425" s="8" t="s">
        <v>182</v>
      </c>
      <c r="H425" s="8" t="s">
        <v>359</v>
      </c>
      <c r="I425" s="8" t="s">
        <v>220</v>
      </c>
      <c r="J425" s="8" t="s">
        <v>47</v>
      </c>
      <c r="K425" s="8" t="n">
        <v>5</v>
      </c>
      <c r="L425" s="8" t="n">
        <v>313.08</v>
      </c>
      <c r="M425" s="8" t="n">
        <v>0</v>
      </c>
      <c r="N425" s="8" t="n">
        <v>1565.4</v>
      </c>
      <c r="O425" s="8" t="n">
        <v>410.02</v>
      </c>
    </row>
    <row r="426" customFormat="false" ht="15" hidden="false" customHeight="true" outlineLevel="0" collapsed="false">
      <c r="A426" s="8" t="s">
        <v>1548</v>
      </c>
      <c r="B426" s="8" t="s">
        <v>1549</v>
      </c>
      <c r="C426" s="8"/>
      <c r="D426" s="8" t="s">
        <v>1550</v>
      </c>
      <c r="E426" s="8" t="s">
        <v>34</v>
      </c>
      <c r="F426" s="8" t="s">
        <v>101</v>
      </c>
      <c r="G426" s="8" t="s">
        <v>102</v>
      </c>
      <c r="H426" s="8" t="s">
        <v>280</v>
      </c>
      <c r="I426" s="8" t="s">
        <v>96</v>
      </c>
      <c r="J426" s="8" t="s">
        <v>29</v>
      </c>
      <c r="K426" s="8" t="n">
        <v>2</v>
      </c>
      <c r="L426" s="8" t="n">
        <v>145.1</v>
      </c>
      <c r="M426" s="8"/>
      <c r="N426" s="8" t="n">
        <v>290.2</v>
      </c>
      <c r="O426" s="8" t="n">
        <v>80.34</v>
      </c>
    </row>
    <row r="427" customFormat="false" ht="15" hidden="false" customHeight="true" outlineLevel="0" collapsed="false">
      <c r="A427" s="8" t="s">
        <v>1551</v>
      </c>
      <c r="B427" s="8" t="s">
        <v>1552</v>
      </c>
      <c r="C427" s="8" t="s">
        <v>1553</v>
      </c>
      <c r="D427" s="8" t="s">
        <v>464</v>
      </c>
      <c r="E427" s="8" t="s">
        <v>52</v>
      </c>
      <c r="F427" s="8" t="s">
        <v>154</v>
      </c>
      <c r="G427" s="8" t="s">
        <v>182</v>
      </c>
      <c r="H427" s="8" t="s">
        <v>45</v>
      </c>
      <c r="I427" s="8" t="s">
        <v>28</v>
      </c>
      <c r="J427" s="8" t="s">
        <v>47</v>
      </c>
      <c r="K427" s="8" t="n">
        <v>1</v>
      </c>
      <c r="L427" s="8" t="n">
        <v>1116.6</v>
      </c>
      <c r="M427" s="8" t="n">
        <v>0.05</v>
      </c>
      <c r="N427" s="8" t="n">
        <v>1060.77</v>
      </c>
      <c r="O427" s="8" t="n">
        <v>248.82</v>
      </c>
    </row>
    <row r="428" customFormat="false" ht="15" hidden="false" customHeight="true" outlineLevel="0" collapsed="false">
      <c r="A428" s="8" t="s">
        <v>1554</v>
      </c>
      <c r="B428" s="8" t="s">
        <v>1247</v>
      </c>
      <c r="C428" s="8" t="s">
        <v>1555</v>
      </c>
      <c r="D428" s="8" t="s">
        <v>1556</v>
      </c>
      <c r="E428" s="8" t="s">
        <v>52</v>
      </c>
      <c r="F428" s="8" t="s">
        <v>44</v>
      </c>
      <c r="G428" s="8" t="s">
        <v>36</v>
      </c>
      <c r="H428" s="8" t="s">
        <v>206</v>
      </c>
      <c r="I428" s="8" t="s">
        <v>527</v>
      </c>
      <c r="J428" s="8" t="s">
        <v>64</v>
      </c>
      <c r="K428" s="8" t="n">
        <v>2</v>
      </c>
      <c r="L428" s="8" t="n">
        <v>64.34</v>
      </c>
      <c r="M428" s="8" t="n">
        <v>0.15</v>
      </c>
      <c r="N428" s="8" t="n">
        <v>109.38</v>
      </c>
      <c r="O428" s="8" t="n">
        <v>7.91</v>
      </c>
    </row>
    <row r="429" customFormat="false" ht="15" hidden="false" customHeight="true" outlineLevel="0" collapsed="false">
      <c r="A429" s="8" t="s">
        <v>1557</v>
      </c>
      <c r="B429" s="8" t="s">
        <v>1558</v>
      </c>
      <c r="C429" s="8" t="s">
        <v>1559</v>
      </c>
      <c r="D429" s="8" t="s">
        <v>113</v>
      </c>
      <c r="E429" s="8" t="s">
        <v>24</v>
      </c>
      <c r="F429" s="8" t="s">
        <v>35</v>
      </c>
      <c r="G429" s="8" t="s">
        <v>62</v>
      </c>
      <c r="H429" s="8" t="s">
        <v>142</v>
      </c>
      <c r="I429" s="8" t="s">
        <v>38</v>
      </c>
      <c r="J429" s="8" t="s">
        <v>47</v>
      </c>
      <c r="K429" s="8" t="n">
        <v>4</v>
      </c>
      <c r="L429" s="8" t="n">
        <v>617.82</v>
      </c>
      <c r="M429" s="8" t="n">
        <v>0.15</v>
      </c>
      <c r="N429" s="8" t="n">
        <v>2100.59</v>
      </c>
      <c r="O429" s="8" t="n">
        <v>85.74</v>
      </c>
    </row>
    <row r="430" customFormat="false" ht="15" hidden="false" customHeight="true" outlineLevel="0" collapsed="false">
      <c r="A430" s="8" t="s">
        <v>1560</v>
      </c>
      <c r="B430" s="8" t="s">
        <v>1561</v>
      </c>
      <c r="C430" s="8" t="s">
        <v>99</v>
      </c>
      <c r="D430" s="8" t="s">
        <v>1562</v>
      </c>
      <c r="E430" s="8" t="s">
        <v>34</v>
      </c>
      <c r="F430" s="8" t="s">
        <v>44</v>
      </c>
      <c r="G430" s="8" t="s">
        <v>76</v>
      </c>
      <c r="H430" s="8" t="s">
        <v>70</v>
      </c>
      <c r="I430" s="8" t="s">
        <v>121</v>
      </c>
      <c r="J430" s="8" t="s">
        <v>29</v>
      </c>
      <c r="K430" s="8" t="n">
        <v>2</v>
      </c>
      <c r="L430" s="8" t="n">
        <v>916.33</v>
      </c>
      <c r="M430" s="8" t="n">
        <v>0.15</v>
      </c>
      <c r="N430" s="8" t="n">
        <v>23366.4</v>
      </c>
      <c r="O430" s="8" t="n">
        <v>-95.67</v>
      </c>
    </row>
    <row r="431" customFormat="false" ht="15" hidden="false" customHeight="true" outlineLevel="0" collapsed="false">
      <c r="A431" s="8" t="s">
        <v>1563</v>
      </c>
      <c r="B431" s="8" t="s">
        <v>1564</v>
      </c>
      <c r="C431" s="8" t="s">
        <v>1565</v>
      </c>
      <c r="D431" s="8" t="s">
        <v>186</v>
      </c>
      <c r="E431" s="8"/>
      <c r="F431" s="8" t="s">
        <v>229</v>
      </c>
      <c r="G431" s="8" t="s">
        <v>102</v>
      </c>
      <c r="H431" s="8" t="s">
        <v>27</v>
      </c>
      <c r="I431" s="8" t="s">
        <v>149</v>
      </c>
      <c r="J431" s="8" t="s">
        <v>39</v>
      </c>
      <c r="K431" s="8" t="n">
        <v>3</v>
      </c>
      <c r="L431" s="8" t="n">
        <v>353.73</v>
      </c>
      <c r="M431" s="8" t="n">
        <v>0.1</v>
      </c>
      <c r="N431" s="8" t="n">
        <v>955.07</v>
      </c>
      <c r="O431" s="8" t="n">
        <v>332.48</v>
      </c>
    </row>
    <row r="432" customFormat="false" ht="15" hidden="false" customHeight="true" outlineLevel="0" collapsed="false">
      <c r="A432" s="8" t="s">
        <v>1566</v>
      </c>
      <c r="B432" s="8" t="s">
        <v>1567</v>
      </c>
      <c r="C432" s="8" t="s">
        <v>1568</v>
      </c>
      <c r="D432" s="8" t="s">
        <v>1569</v>
      </c>
      <c r="E432" s="8" t="s">
        <v>24</v>
      </c>
      <c r="F432" s="8" t="s">
        <v>154</v>
      </c>
      <c r="G432" s="8" t="s">
        <v>119</v>
      </c>
      <c r="H432" s="8" t="s">
        <v>83</v>
      </c>
      <c r="I432" s="8" t="s">
        <v>404</v>
      </c>
      <c r="J432" s="8" t="s">
        <v>29</v>
      </c>
      <c r="K432" s="8"/>
      <c r="L432" s="8" t="n">
        <v>556.32</v>
      </c>
      <c r="M432" s="8" t="n">
        <v>0</v>
      </c>
      <c r="N432" s="8" t="n">
        <v>556.32</v>
      </c>
      <c r="O432" s="8" t="n">
        <v>154.28</v>
      </c>
    </row>
    <row r="433" customFormat="false" ht="15" hidden="false" customHeight="true" outlineLevel="0" collapsed="false">
      <c r="A433" s="8" t="s">
        <v>1570</v>
      </c>
      <c r="B433" s="8" t="s">
        <v>1571</v>
      </c>
      <c r="C433" s="8" t="s">
        <v>1572</v>
      </c>
      <c r="D433" s="8" t="s">
        <v>51</v>
      </c>
      <c r="E433" s="8" t="s">
        <v>52</v>
      </c>
      <c r="F433" s="8" t="s">
        <v>154</v>
      </c>
      <c r="G433" s="8" t="s">
        <v>102</v>
      </c>
      <c r="H433" s="8" t="s">
        <v>359</v>
      </c>
      <c r="I433" s="8" t="s">
        <v>241</v>
      </c>
      <c r="J433" s="8" t="s">
        <v>64</v>
      </c>
      <c r="K433" s="8" t="n">
        <v>1</v>
      </c>
      <c r="L433" s="8" t="n">
        <v>288.33</v>
      </c>
      <c r="M433" s="8" t="n">
        <v>0.05</v>
      </c>
      <c r="N433" s="8" t="n">
        <v>273.91</v>
      </c>
      <c r="O433" s="8" t="n">
        <v>-11.55</v>
      </c>
    </row>
    <row r="434" customFormat="false" ht="15" hidden="false" customHeight="true" outlineLevel="0" collapsed="false">
      <c r="A434" s="8" t="s">
        <v>1573</v>
      </c>
      <c r="B434" s="8" t="s">
        <v>1574</v>
      </c>
      <c r="C434" s="8" t="s">
        <v>1575</v>
      </c>
      <c r="D434" s="8" t="s">
        <v>1576</v>
      </c>
      <c r="E434" s="8" t="s">
        <v>34</v>
      </c>
      <c r="F434" s="8" t="s">
        <v>44</v>
      </c>
      <c r="G434" s="8" t="s">
        <v>62</v>
      </c>
      <c r="H434" s="8" t="s">
        <v>132</v>
      </c>
      <c r="I434" s="8" t="s">
        <v>220</v>
      </c>
      <c r="J434" s="8" t="s">
        <v>47</v>
      </c>
      <c r="K434" s="8" t="n">
        <v>1</v>
      </c>
      <c r="L434" s="8" t="n">
        <v>1176.75</v>
      </c>
      <c r="M434" s="8"/>
      <c r="N434" s="8" t="n">
        <v>1176.75</v>
      </c>
      <c r="O434" s="8" t="n">
        <v>98</v>
      </c>
    </row>
    <row r="435" customFormat="false" ht="15" hidden="false" customHeight="true" outlineLevel="0" collapsed="false">
      <c r="A435" s="8" t="s">
        <v>1577</v>
      </c>
      <c r="B435" s="8" t="s">
        <v>1246</v>
      </c>
      <c r="C435" s="8" t="s">
        <v>1555</v>
      </c>
      <c r="D435" s="8" t="s">
        <v>1578</v>
      </c>
      <c r="E435" s="8" t="s">
        <v>52</v>
      </c>
      <c r="F435" s="8" t="s">
        <v>147</v>
      </c>
      <c r="G435" s="8" t="s">
        <v>326</v>
      </c>
      <c r="H435" s="8" t="s">
        <v>55</v>
      </c>
      <c r="I435" s="8" t="s">
        <v>241</v>
      </c>
      <c r="J435" s="8" t="s">
        <v>64</v>
      </c>
      <c r="K435" s="8" t="n">
        <v>2</v>
      </c>
      <c r="L435" s="8" t="n">
        <v>843.29</v>
      </c>
      <c r="M435" s="8" t="n">
        <v>0.05</v>
      </c>
      <c r="N435" s="8" t="n">
        <v>1602.25</v>
      </c>
      <c r="O435" s="8" t="n">
        <v>478.89</v>
      </c>
    </row>
    <row r="436" customFormat="false" ht="15" hidden="false" customHeight="true" outlineLevel="0" collapsed="false">
      <c r="A436" s="8" t="s">
        <v>1579</v>
      </c>
      <c r="B436" s="8" t="s">
        <v>1580</v>
      </c>
      <c r="C436" s="8" t="s">
        <v>1581</v>
      </c>
      <c r="D436" s="8" t="s">
        <v>1582</v>
      </c>
      <c r="E436" s="8" t="s">
        <v>34</v>
      </c>
      <c r="F436" s="8" t="s">
        <v>53</v>
      </c>
      <c r="G436" s="8" t="s">
        <v>215</v>
      </c>
      <c r="H436" s="8" t="s">
        <v>206</v>
      </c>
      <c r="I436" s="8" t="s">
        <v>143</v>
      </c>
      <c r="J436" s="8" t="s">
        <v>29</v>
      </c>
      <c r="K436" s="8" t="n">
        <v>4</v>
      </c>
      <c r="L436" s="8" t="n">
        <v>1048.75</v>
      </c>
      <c r="M436" s="8"/>
      <c r="N436" s="8" t="n">
        <v>4195</v>
      </c>
      <c r="O436" s="8" t="n">
        <v>388.3</v>
      </c>
    </row>
    <row r="437" customFormat="false" ht="15" hidden="false" customHeight="true" outlineLevel="0" collapsed="false">
      <c r="A437" s="8" t="s">
        <v>1583</v>
      </c>
      <c r="B437" s="8" t="s">
        <v>1584</v>
      </c>
      <c r="C437" s="8" t="s">
        <v>1585</v>
      </c>
      <c r="D437" s="8" t="s">
        <v>1586</v>
      </c>
      <c r="E437" s="8" t="s">
        <v>24</v>
      </c>
      <c r="F437" s="8" t="s">
        <v>69</v>
      </c>
      <c r="G437" s="8" t="s">
        <v>82</v>
      </c>
      <c r="H437" s="8" t="s">
        <v>37</v>
      </c>
      <c r="I437" s="8" t="s">
        <v>527</v>
      </c>
      <c r="J437" s="8" t="s">
        <v>29</v>
      </c>
      <c r="K437" s="8" t="n">
        <v>4</v>
      </c>
      <c r="L437" s="8" t="n">
        <v>789.37</v>
      </c>
      <c r="M437" s="8" t="n">
        <v>0.1</v>
      </c>
      <c r="N437" s="8" t="n">
        <v>2841.73</v>
      </c>
      <c r="O437" s="8" t="n">
        <v>-3.72</v>
      </c>
    </row>
    <row r="438" customFormat="false" ht="15" hidden="false" customHeight="true" outlineLevel="0" collapsed="false">
      <c r="A438" s="8" t="s">
        <v>1587</v>
      </c>
      <c r="B438" s="8" t="s">
        <v>1588</v>
      </c>
      <c r="C438" s="8" t="s">
        <v>1589</v>
      </c>
      <c r="D438" s="8" t="s">
        <v>486</v>
      </c>
      <c r="E438" s="8" t="s">
        <v>34</v>
      </c>
      <c r="F438" s="8" t="s">
        <v>200</v>
      </c>
      <c r="G438" s="8" t="s">
        <v>89</v>
      </c>
      <c r="H438" s="8" t="s">
        <v>155</v>
      </c>
      <c r="I438" s="8" t="s">
        <v>138</v>
      </c>
      <c r="J438" s="8" t="s">
        <v>64</v>
      </c>
      <c r="K438" s="8" t="n">
        <v>2</v>
      </c>
      <c r="L438" s="8" t="n">
        <v>1008.82</v>
      </c>
      <c r="M438" s="8" t="n">
        <v>0.05</v>
      </c>
      <c r="N438" s="8" t="n">
        <v>1916.76</v>
      </c>
      <c r="O438" s="8" t="n">
        <v>121.13</v>
      </c>
    </row>
    <row r="439" customFormat="false" ht="15" hidden="false" customHeight="true" outlineLevel="0" collapsed="false">
      <c r="A439" s="8" t="s">
        <v>1590</v>
      </c>
      <c r="B439" s="8" t="s">
        <v>1591</v>
      </c>
      <c r="C439" s="8" t="s">
        <v>1592</v>
      </c>
      <c r="D439" s="8" t="s">
        <v>1593</v>
      </c>
      <c r="E439" s="8" t="s">
        <v>24</v>
      </c>
      <c r="F439" s="8" t="s">
        <v>200</v>
      </c>
      <c r="G439" s="8" t="s">
        <v>26</v>
      </c>
      <c r="H439" s="8" t="s">
        <v>103</v>
      </c>
      <c r="I439" s="8" t="s">
        <v>104</v>
      </c>
      <c r="J439" s="8" t="s">
        <v>64</v>
      </c>
      <c r="K439" s="8" t="n">
        <v>5</v>
      </c>
      <c r="L439" s="8" t="n">
        <v>1141.99</v>
      </c>
      <c r="M439" s="8"/>
      <c r="N439" s="8" t="n">
        <v>5709.95</v>
      </c>
      <c r="O439" s="8" t="n">
        <v>379.25</v>
      </c>
    </row>
    <row r="440" customFormat="false" ht="15" hidden="false" customHeight="true" outlineLevel="0" collapsed="false">
      <c r="A440" s="8" t="s">
        <v>1594</v>
      </c>
      <c r="B440" s="8" t="s">
        <v>827</v>
      </c>
      <c r="C440" s="8" t="s">
        <v>1595</v>
      </c>
      <c r="D440" s="8" t="s">
        <v>600</v>
      </c>
      <c r="E440" s="8"/>
      <c r="F440" s="8" t="s">
        <v>101</v>
      </c>
      <c r="G440" s="8" t="s">
        <v>119</v>
      </c>
      <c r="H440" s="8" t="s">
        <v>132</v>
      </c>
      <c r="I440" s="8" t="s">
        <v>133</v>
      </c>
      <c r="J440" s="8" t="s">
        <v>39</v>
      </c>
      <c r="K440" s="8" t="n">
        <v>1</v>
      </c>
      <c r="L440" s="8" t="n">
        <v>775.05</v>
      </c>
      <c r="M440" s="8" t="n">
        <v>0.15</v>
      </c>
      <c r="N440" s="8" t="n">
        <v>658.79</v>
      </c>
      <c r="O440" s="8" t="n">
        <v>180.1</v>
      </c>
    </row>
    <row r="441" customFormat="false" ht="15" hidden="false" customHeight="true" outlineLevel="0" collapsed="false">
      <c r="A441" s="8" t="s">
        <v>1596</v>
      </c>
      <c r="B441" s="8" t="s">
        <v>1597</v>
      </c>
      <c r="C441" s="8" t="s">
        <v>1598</v>
      </c>
      <c r="D441" s="8" t="s">
        <v>363</v>
      </c>
      <c r="E441" s="8" t="s">
        <v>24</v>
      </c>
      <c r="F441" s="8" t="s">
        <v>372</v>
      </c>
      <c r="G441" s="8" t="s">
        <v>326</v>
      </c>
      <c r="H441" s="8" t="s">
        <v>37</v>
      </c>
      <c r="I441" s="8" t="s">
        <v>38</v>
      </c>
      <c r="J441" s="8" t="s">
        <v>39</v>
      </c>
      <c r="K441" s="8" t="n">
        <v>1</v>
      </c>
      <c r="L441" s="8" t="n">
        <v>1175.98</v>
      </c>
      <c r="M441" s="8" t="n">
        <v>0.2</v>
      </c>
      <c r="N441" s="8" t="n">
        <v>940.78</v>
      </c>
      <c r="O441" s="8" t="n">
        <v>-72.34</v>
      </c>
    </row>
    <row r="442" customFormat="false" ht="15" hidden="false" customHeight="true" outlineLevel="0" collapsed="false">
      <c r="A442" s="8" t="s">
        <v>1599</v>
      </c>
      <c r="B442" s="8" t="s">
        <v>278</v>
      </c>
      <c r="C442" s="8" t="s">
        <v>1600</v>
      </c>
      <c r="D442" s="8" t="s">
        <v>249</v>
      </c>
      <c r="E442" s="8"/>
      <c r="F442" s="8" t="s">
        <v>61</v>
      </c>
      <c r="G442" s="8" t="s">
        <v>62</v>
      </c>
      <c r="H442" s="8" t="s">
        <v>95</v>
      </c>
      <c r="I442" s="8" t="s">
        <v>96</v>
      </c>
      <c r="J442" s="8" t="s">
        <v>29</v>
      </c>
      <c r="K442" s="8" t="n">
        <v>2</v>
      </c>
      <c r="L442" s="8" t="n">
        <v>537.65</v>
      </c>
      <c r="M442" s="8"/>
      <c r="N442" s="8" t="n">
        <v>1075.3</v>
      </c>
      <c r="O442" s="8" t="n">
        <v>171.25</v>
      </c>
    </row>
    <row r="443" customFormat="false" ht="15" hidden="false" customHeight="true" outlineLevel="0" collapsed="false">
      <c r="A443" s="8" t="s">
        <v>1601</v>
      </c>
      <c r="B443" s="8" t="s">
        <v>1524</v>
      </c>
      <c r="C443" s="8" t="s">
        <v>1602</v>
      </c>
      <c r="D443" s="8" t="s">
        <v>1603</v>
      </c>
      <c r="E443" s="8" t="s">
        <v>52</v>
      </c>
      <c r="F443" s="8" t="s">
        <v>200</v>
      </c>
      <c r="G443" s="8" t="s">
        <v>89</v>
      </c>
      <c r="H443" s="8" t="s">
        <v>27</v>
      </c>
      <c r="I443" s="8" t="s">
        <v>160</v>
      </c>
      <c r="J443" s="8" t="s">
        <v>39</v>
      </c>
      <c r="K443" s="8" t="n">
        <v>5</v>
      </c>
      <c r="L443" s="8" t="n">
        <v>1159.69</v>
      </c>
      <c r="M443" s="8"/>
      <c r="N443" s="8" t="n">
        <v>5798.45</v>
      </c>
      <c r="O443" s="8" t="n">
        <v>1858.01</v>
      </c>
    </row>
    <row r="444" customFormat="false" ht="15" hidden="false" customHeight="true" outlineLevel="0" collapsed="false">
      <c r="A444" s="8" t="s">
        <v>1604</v>
      </c>
      <c r="B444" s="8" t="s">
        <v>1605</v>
      </c>
      <c r="C444" s="8" t="s">
        <v>1606</v>
      </c>
      <c r="D444" s="8" t="s">
        <v>806</v>
      </c>
      <c r="E444" s="8" t="s">
        <v>52</v>
      </c>
      <c r="F444" s="8" t="s">
        <v>69</v>
      </c>
      <c r="G444" s="8" t="s">
        <v>26</v>
      </c>
      <c r="H444" s="8" t="s">
        <v>77</v>
      </c>
      <c r="I444" s="8" t="s">
        <v>425</v>
      </c>
      <c r="J444" s="8" t="s">
        <v>64</v>
      </c>
      <c r="K444" s="8" t="n">
        <v>5</v>
      </c>
      <c r="L444" s="8" t="n">
        <v>1013.64</v>
      </c>
      <c r="M444" s="8"/>
      <c r="N444" s="8" t="n">
        <v>5068.2</v>
      </c>
      <c r="O444" s="8" t="n">
        <v>1048.24</v>
      </c>
    </row>
    <row r="445" customFormat="false" ht="15" hidden="false" customHeight="true" outlineLevel="0" collapsed="false">
      <c r="A445" s="8" t="s">
        <v>1607</v>
      </c>
      <c r="B445" s="8" t="s">
        <v>1608</v>
      </c>
      <c r="C445" s="8" t="s">
        <v>1609</v>
      </c>
      <c r="D445" s="8" t="s">
        <v>1610</v>
      </c>
      <c r="E445" s="8" t="s">
        <v>34</v>
      </c>
      <c r="F445" s="8" t="s">
        <v>35</v>
      </c>
      <c r="G445" s="8" t="s">
        <v>76</v>
      </c>
      <c r="H445" s="8" t="s">
        <v>148</v>
      </c>
      <c r="I445" s="8" t="s">
        <v>138</v>
      </c>
      <c r="J445" s="8" t="s">
        <v>39</v>
      </c>
      <c r="K445" s="8"/>
      <c r="L445" s="8" t="n">
        <v>445.09</v>
      </c>
      <c r="M445" s="8" t="n">
        <v>0.15</v>
      </c>
      <c r="N445" s="8" t="n">
        <v>378.33</v>
      </c>
      <c r="O445" s="8"/>
    </row>
    <row r="446" customFormat="false" ht="15" hidden="false" customHeight="true" outlineLevel="0" collapsed="false">
      <c r="A446" s="8" t="s">
        <v>1611</v>
      </c>
      <c r="B446" s="8" t="s">
        <v>379</v>
      </c>
      <c r="C446" s="8" t="s">
        <v>1612</v>
      </c>
      <c r="D446" s="8" t="s">
        <v>1613</v>
      </c>
      <c r="E446" s="8"/>
      <c r="F446" s="8" t="s">
        <v>35</v>
      </c>
      <c r="G446" s="8" t="s">
        <v>36</v>
      </c>
      <c r="H446" s="8" t="s">
        <v>95</v>
      </c>
      <c r="I446" s="8" t="s">
        <v>115</v>
      </c>
      <c r="J446" s="8" t="s">
        <v>29</v>
      </c>
      <c r="K446" s="8" t="n">
        <v>2</v>
      </c>
      <c r="L446" s="8" t="n">
        <v>291.14</v>
      </c>
      <c r="M446" s="8"/>
      <c r="N446" s="8" t="n">
        <v>582.28</v>
      </c>
      <c r="O446" s="8" t="n">
        <v>127.19</v>
      </c>
    </row>
    <row r="447" customFormat="false" ht="15" hidden="false" customHeight="true" outlineLevel="0" collapsed="false">
      <c r="A447" s="8" t="s">
        <v>1614</v>
      </c>
      <c r="B447" s="8" t="s">
        <v>1615</v>
      </c>
      <c r="C447" s="8" t="s">
        <v>1361</v>
      </c>
      <c r="D447" s="8" t="s">
        <v>1616</v>
      </c>
      <c r="E447" s="8"/>
      <c r="F447" s="8" t="s">
        <v>61</v>
      </c>
      <c r="G447" s="8" t="s">
        <v>62</v>
      </c>
      <c r="H447" s="8" t="s">
        <v>142</v>
      </c>
      <c r="I447" s="8" t="s">
        <v>38</v>
      </c>
      <c r="J447" s="8" t="s">
        <v>64</v>
      </c>
      <c r="K447" s="8" t="n">
        <v>1</v>
      </c>
      <c r="L447" s="8" t="n">
        <v>389.61</v>
      </c>
      <c r="M447" s="8"/>
      <c r="N447" s="8" t="n">
        <v>389.61</v>
      </c>
      <c r="O447" s="8" t="n">
        <v>-20.23</v>
      </c>
    </row>
    <row r="448" customFormat="false" ht="15" hidden="false" customHeight="true" outlineLevel="0" collapsed="false">
      <c r="A448" s="8" t="s">
        <v>1617</v>
      </c>
      <c r="B448" s="8" t="s">
        <v>1618</v>
      </c>
      <c r="C448" s="8" t="s">
        <v>1581</v>
      </c>
      <c r="D448" s="8" t="s">
        <v>1619</v>
      </c>
      <c r="E448" s="8" t="s">
        <v>34</v>
      </c>
      <c r="F448" s="8" t="s">
        <v>173</v>
      </c>
      <c r="G448" s="8" t="s">
        <v>182</v>
      </c>
      <c r="H448" s="8" t="s">
        <v>132</v>
      </c>
      <c r="I448" s="8" t="s">
        <v>56</v>
      </c>
      <c r="J448" s="8" t="s">
        <v>39</v>
      </c>
      <c r="K448" s="8" t="n">
        <v>1</v>
      </c>
      <c r="L448" s="8" t="n">
        <v>216.64</v>
      </c>
      <c r="M448" s="8" t="n">
        <v>0</v>
      </c>
      <c r="N448" s="8" t="n">
        <v>216.64</v>
      </c>
      <c r="O448" s="8" t="n">
        <v>57.01</v>
      </c>
    </row>
    <row r="449" customFormat="false" ht="15" hidden="false" customHeight="true" outlineLevel="0" collapsed="false">
      <c r="A449" s="8" t="s">
        <v>1620</v>
      </c>
      <c r="B449" s="8" t="s">
        <v>1621</v>
      </c>
      <c r="C449" s="8" t="s">
        <v>175</v>
      </c>
      <c r="D449" s="8" t="s">
        <v>317</v>
      </c>
      <c r="E449" s="8"/>
      <c r="F449" s="8" t="s">
        <v>173</v>
      </c>
      <c r="G449" s="8" t="s">
        <v>182</v>
      </c>
      <c r="H449" s="8" t="s">
        <v>27</v>
      </c>
      <c r="I449" s="8" t="s">
        <v>138</v>
      </c>
      <c r="J449" s="8" t="s">
        <v>64</v>
      </c>
      <c r="K449" s="8" t="n">
        <v>3</v>
      </c>
      <c r="L449" s="8" t="n">
        <v>1132.31</v>
      </c>
      <c r="M449" s="8" t="n">
        <v>0</v>
      </c>
      <c r="N449" s="8" t="n">
        <v>3396.93</v>
      </c>
      <c r="O449" s="8" t="n">
        <v>482.1</v>
      </c>
    </row>
    <row r="450" customFormat="false" ht="15" hidden="false" customHeight="true" outlineLevel="0" collapsed="false">
      <c r="A450" s="8" t="s">
        <v>1622</v>
      </c>
      <c r="B450" s="8" t="s">
        <v>1623</v>
      </c>
      <c r="C450" s="8" t="s">
        <v>1624</v>
      </c>
      <c r="D450" s="8" t="s">
        <v>1625</v>
      </c>
      <c r="E450" s="8" t="s">
        <v>24</v>
      </c>
      <c r="F450" s="8" t="s">
        <v>25</v>
      </c>
      <c r="G450" s="8" t="s">
        <v>26</v>
      </c>
      <c r="H450" s="8" t="s">
        <v>95</v>
      </c>
      <c r="I450" s="8" t="s">
        <v>96</v>
      </c>
      <c r="J450" s="8" t="s">
        <v>39</v>
      </c>
      <c r="K450" s="8" t="n">
        <v>2</v>
      </c>
      <c r="L450" s="8" t="n">
        <v>353.25</v>
      </c>
      <c r="M450" s="8"/>
      <c r="N450" s="8" t="n">
        <v>706.5</v>
      </c>
      <c r="O450" s="8" t="n">
        <v>34.31</v>
      </c>
    </row>
    <row r="451" customFormat="false" ht="15" hidden="false" customHeight="true" outlineLevel="0" collapsed="false">
      <c r="A451" s="8" t="s">
        <v>1626</v>
      </c>
      <c r="B451" s="8" t="s">
        <v>1627</v>
      </c>
      <c r="C451" s="8" t="s">
        <v>1628</v>
      </c>
      <c r="D451" s="8"/>
      <c r="E451" s="8"/>
      <c r="F451" s="8" t="s">
        <v>61</v>
      </c>
      <c r="G451" s="8" t="s">
        <v>36</v>
      </c>
      <c r="H451" s="8" t="s">
        <v>70</v>
      </c>
      <c r="I451" s="8" t="s">
        <v>71</v>
      </c>
      <c r="J451" s="8" t="s">
        <v>39</v>
      </c>
      <c r="K451" s="8" t="n">
        <v>4</v>
      </c>
      <c r="L451" s="8" t="n">
        <v>763.62</v>
      </c>
      <c r="M451" s="8" t="n">
        <v>0</v>
      </c>
      <c r="N451" s="8" t="n">
        <v>3054.48</v>
      </c>
      <c r="O451" s="8" t="n">
        <v>659.53</v>
      </c>
    </row>
    <row r="452" customFormat="false" ht="15" hidden="false" customHeight="true" outlineLevel="0" collapsed="false">
      <c r="A452" s="8" t="s">
        <v>1629</v>
      </c>
      <c r="B452" s="8" t="s">
        <v>1630</v>
      </c>
      <c r="C452" s="8" t="s">
        <v>1631</v>
      </c>
      <c r="D452" s="8" t="s">
        <v>1632</v>
      </c>
      <c r="E452" s="8" t="s">
        <v>52</v>
      </c>
      <c r="F452" s="8" t="s">
        <v>101</v>
      </c>
      <c r="G452" s="8" t="s">
        <v>119</v>
      </c>
      <c r="H452" s="8" t="s">
        <v>55</v>
      </c>
      <c r="I452" s="8" t="s">
        <v>56</v>
      </c>
      <c r="J452" s="8" t="s">
        <v>64</v>
      </c>
      <c r="K452" s="8" t="n">
        <v>1</v>
      </c>
      <c r="L452" s="8" t="n">
        <v>332.32</v>
      </c>
      <c r="M452" s="8" t="n">
        <v>0</v>
      </c>
      <c r="N452" s="8" t="n">
        <v>332.32</v>
      </c>
      <c r="O452" s="8" t="n">
        <v>90.97</v>
      </c>
    </row>
    <row r="453" customFormat="false" ht="15" hidden="false" customHeight="true" outlineLevel="0" collapsed="false">
      <c r="A453" s="8" t="s">
        <v>1633</v>
      </c>
      <c r="B453" s="8" t="s">
        <v>1634</v>
      </c>
      <c r="C453" s="8" t="s">
        <v>1635</v>
      </c>
      <c r="D453" s="8" t="s">
        <v>288</v>
      </c>
      <c r="E453" s="8"/>
      <c r="F453" s="8" t="s">
        <v>147</v>
      </c>
      <c r="G453" s="8" t="s">
        <v>215</v>
      </c>
      <c r="H453" s="8" t="s">
        <v>77</v>
      </c>
      <c r="I453" s="8" t="s">
        <v>127</v>
      </c>
      <c r="J453" s="8" t="s">
        <v>39</v>
      </c>
      <c r="K453" s="8"/>
      <c r="L453" s="8" t="n">
        <v>892.71</v>
      </c>
      <c r="M453" s="8" t="n">
        <v>0.05</v>
      </c>
      <c r="N453" s="8" t="n">
        <v>848.07</v>
      </c>
      <c r="O453" s="8" t="n">
        <v>50.43</v>
      </c>
    </row>
    <row r="454" customFormat="false" ht="15" hidden="false" customHeight="true" outlineLevel="0" collapsed="false">
      <c r="A454" s="8" t="s">
        <v>1636</v>
      </c>
      <c r="B454" s="8" t="s">
        <v>1637</v>
      </c>
      <c r="C454" s="8" t="s">
        <v>970</v>
      </c>
      <c r="D454" s="8" t="s">
        <v>1638</v>
      </c>
      <c r="E454" s="8" t="s">
        <v>24</v>
      </c>
      <c r="F454" s="8" t="s">
        <v>154</v>
      </c>
      <c r="G454" s="8" t="s">
        <v>119</v>
      </c>
      <c r="H454" s="8" t="s">
        <v>245</v>
      </c>
      <c r="I454" s="8" t="s">
        <v>109</v>
      </c>
      <c r="J454" s="8" t="s">
        <v>29</v>
      </c>
      <c r="K454" s="8" t="n">
        <v>3</v>
      </c>
      <c r="L454" s="8" t="n">
        <v>133.33</v>
      </c>
      <c r="M454" s="8" t="n">
        <v>0.05</v>
      </c>
      <c r="N454" s="8" t="n">
        <v>379.99</v>
      </c>
      <c r="O454" s="8" t="n">
        <v>106.88</v>
      </c>
    </row>
    <row r="455" customFormat="false" ht="15" hidden="false" customHeight="true" outlineLevel="0" collapsed="false">
      <c r="A455" s="8" t="s">
        <v>1639</v>
      </c>
      <c r="B455" s="8" t="s">
        <v>1640</v>
      </c>
      <c r="C455" s="8" t="s">
        <v>1641</v>
      </c>
      <c r="D455" s="8" t="s">
        <v>1142</v>
      </c>
      <c r="E455" s="8" t="s">
        <v>24</v>
      </c>
      <c r="F455" s="8" t="s">
        <v>147</v>
      </c>
      <c r="G455" s="8" t="s">
        <v>326</v>
      </c>
      <c r="H455" s="8" t="s">
        <v>77</v>
      </c>
      <c r="I455" s="8" t="s">
        <v>78</v>
      </c>
      <c r="J455" s="8" t="s">
        <v>64</v>
      </c>
      <c r="K455" s="8" t="n">
        <v>2</v>
      </c>
      <c r="L455" s="8" t="n">
        <v>656.84</v>
      </c>
      <c r="M455" s="8" t="n">
        <v>0.1</v>
      </c>
      <c r="N455" s="8" t="n">
        <v>1182.31</v>
      </c>
      <c r="O455" s="8" t="n">
        <v>117.95</v>
      </c>
    </row>
    <row r="456" customFormat="false" ht="15" hidden="false" customHeight="true" outlineLevel="0" collapsed="false">
      <c r="A456" s="8" t="s">
        <v>1642</v>
      </c>
      <c r="B456" s="8" t="s">
        <v>1643</v>
      </c>
      <c r="C456" s="8" t="s">
        <v>1644</v>
      </c>
      <c r="D456" s="8" t="s">
        <v>700</v>
      </c>
      <c r="E456" s="8" t="s">
        <v>24</v>
      </c>
      <c r="F456" s="8" t="s">
        <v>44</v>
      </c>
      <c r="G456" s="8" t="s">
        <v>76</v>
      </c>
      <c r="H456" s="8" t="s">
        <v>103</v>
      </c>
      <c r="I456" s="8" t="s">
        <v>104</v>
      </c>
      <c r="J456" s="8" t="s">
        <v>39</v>
      </c>
      <c r="K456" s="8" t="n">
        <v>1</v>
      </c>
      <c r="L456" s="8" t="n">
        <v>900.08</v>
      </c>
      <c r="M456" s="8" t="n">
        <v>0</v>
      </c>
      <c r="N456" s="8" t="n">
        <v>900.08</v>
      </c>
      <c r="O456" s="8" t="n">
        <v>161.66</v>
      </c>
    </row>
    <row r="457" customFormat="false" ht="15" hidden="false" customHeight="true" outlineLevel="0" collapsed="false">
      <c r="A457" s="8" t="s">
        <v>1645</v>
      </c>
      <c r="B457" s="8" t="s">
        <v>1646</v>
      </c>
      <c r="C457" s="8" t="s">
        <v>1647</v>
      </c>
      <c r="D457" s="8" t="s">
        <v>1569</v>
      </c>
      <c r="E457" s="8" t="s">
        <v>52</v>
      </c>
      <c r="F457" s="8" t="s">
        <v>25</v>
      </c>
      <c r="G457" s="8" t="s">
        <v>89</v>
      </c>
      <c r="H457" s="8" t="s">
        <v>148</v>
      </c>
      <c r="I457" s="8" t="s">
        <v>28</v>
      </c>
      <c r="J457" s="8" t="s">
        <v>64</v>
      </c>
      <c r="K457" s="8" t="n">
        <v>1</v>
      </c>
      <c r="L457" s="8" t="n">
        <v>51.5</v>
      </c>
      <c r="M457" s="8"/>
      <c r="N457" s="8" t="n">
        <v>51.5</v>
      </c>
      <c r="O457" s="8" t="n">
        <v>2.23</v>
      </c>
    </row>
    <row r="458" customFormat="false" ht="15" hidden="false" customHeight="true" outlineLevel="0" collapsed="false">
      <c r="A458" s="8" t="s">
        <v>1648</v>
      </c>
      <c r="B458" s="8" t="s">
        <v>1649</v>
      </c>
      <c r="C458" s="8" t="s">
        <v>1650</v>
      </c>
      <c r="D458" s="8" t="s">
        <v>1651</v>
      </c>
      <c r="E458" s="8" t="s">
        <v>52</v>
      </c>
      <c r="F458" s="8" t="s">
        <v>154</v>
      </c>
      <c r="G458" s="8" t="s">
        <v>182</v>
      </c>
      <c r="H458" s="8" t="s">
        <v>191</v>
      </c>
      <c r="I458" s="8" t="s">
        <v>425</v>
      </c>
      <c r="J458" s="8" t="s">
        <v>47</v>
      </c>
      <c r="K458" s="8" t="n">
        <v>1</v>
      </c>
      <c r="L458" s="8" t="n">
        <v>541.63</v>
      </c>
      <c r="M458" s="8" t="n">
        <v>0.2</v>
      </c>
      <c r="N458" s="8" t="n">
        <v>433.3</v>
      </c>
      <c r="O458" s="8" t="n">
        <v>131.28</v>
      </c>
    </row>
    <row r="459" customFormat="false" ht="15" hidden="false" customHeight="true" outlineLevel="0" collapsed="false">
      <c r="A459" s="8" t="s">
        <v>626</v>
      </c>
      <c r="B459" s="8" t="s">
        <v>627</v>
      </c>
      <c r="C459" s="8" t="s">
        <v>628</v>
      </c>
      <c r="D459" s="8" t="s">
        <v>629</v>
      </c>
      <c r="E459" s="8"/>
      <c r="F459" s="8" t="s">
        <v>69</v>
      </c>
      <c r="G459" s="8" t="s">
        <v>26</v>
      </c>
      <c r="H459" s="8" t="s">
        <v>95</v>
      </c>
      <c r="I459" s="8" t="s">
        <v>297</v>
      </c>
      <c r="J459" s="8" t="s">
        <v>39</v>
      </c>
      <c r="K459" s="8" t="n">
        <v>4</v>
      </c>
      <c r="L459" s="8" t="n">
        <v>436.04</v>
      </c>
      <c r="M459" s="8" t="n">
        <v>0</v>
      </c>
      <c r="N459" s="8" t="n">
        <v>1744.16</v>
      </c>
      <c r="O459" s="8" t="n">
        <v>262.75</v>
      </c>
    </row>
    <row r="460" customFormat="false" ht="15" hidden="false" customHeight="true" outlineLevel="0" collapsed="false">
      <c r="A460" s="8" t="s">
        <v>1652</v>
      </c>
      <c r="B460" s="8" t="s">
        <v>1653</v>
      </c>
      <c r="C460" s="8" t="s">
        <v>1654</v>
      </c>
      <c r="D460" s="8" t="s">
        <v>1655</v>
      </c>
      <c r="E460" s="8" t="s">
        <v>52</v>
      </c>
      <c r="F460" s="8" t="s">
        <v>147</v>
      </c>
      <c r="G460" s="8" t="s">
        <v>54</v>
      </c>
      <c r="H460" s="8" t="s">
        <v>45</v>
      </c>
      <c r="I460" s="8" t="s">
        <v>28</v>
      </c>
      <c r="J460" s="8" t="s">
        <v>39</v>
      </c>
      <c r="K460" s="8" t="n">
        <v>5</v>
      </c>
      <c r="L460" s="8" t="n">
        <v>110.67</v>
      </c>
      <c r="M460" s="8" t="n">
        <v>0.05</v>
      </c>
      <c r="N460" s="8" t="n">
        <v>525.68</v>
      </c>
      <c r="O460" s="8"/>
    </row>
    <row r="461" customFormat="false" ht="15" hidden="false" customHeight="true" outlineLevel="0" collapsed="false">
      <c r="A461" s="8" t="s">
        <v>1656</v>
      </c>
      <c r="B461" s="8" t="s">
        <v>1657</v>
      </c>
      <c r="C461" s="8" t="s">
        <v>1658</v>
      </c>
      <c r="D461" s="8" t="s">
        <v>546</v>
      </c>
      <c r="E461" s="8" t="s">
        <v>52</v>
      </c>
      <c r="F461" s="8" t="s">
        <v>154</v>
      </c>
      <c r="G461" s="8" t="s">
        <v>102</v>
      </c>
      <c r="H461" s="8" t="s">
        <v>27</v>
      </c>
      <c r="I461" s="8" t="s">
        <v>138</v>
      </c>
      <c r="J461" s="8" t="s">
        <v>29</v>
      </c>
      <c r="K461" s="8" t="n">
        <v>5</v>
      </c>
      <c r="L461" s="8" t="n">
        <v>592.97</v>
      </c>
      <c r="M461" s="8" t="n">
        <v>0</v>
      </c>
      <c r="N461" s="8" t="n">
        <v>2964.85</v>
      </c>
      <c r="O461" s="8" t="n">
        <v>1003.75</v>
      </c>
    </row>
    <row r="462" customFormat="false" ht="15" hidden="false" customHeight="true" outlineLevel="0" collapsed="false">
      <c r="A462" s="8" t="s">
        <v>1659</v>
      </c>
      <c r="B462" s="8" t="s">
        <v>1660</v>
      </c>
      <c r="C462" s="8"/>
      <c r="D462" s="8" t="s">
        <v>1661</v>
      </c>
      <c r="E462" s="8" t="s">
        <v>34</v>
      </c>
      <c r="F462" s="8" t="s">
        <v>173</v>
      </c>
      <c r="G462" s="8" t="s">
        <v>182</v>
      </c>
      <c r="H462" s="8" t="s">
        <v>280</v>
      </c>
      <c r="I462" s="8" t="s">
        <v>96</v>
      </c>
      <c r="J462" s="8" t="s">
        <v>29</v>
      </c>
      <c r="K462" s="8" t="n">
        <v>5</v>
      </c>
      <c r="L462" s="8" t="n">
        <v>815.23</v>
      </c>
      <c r="M462" s="8" t="n">
        <v>0</v>
      </c>
      <c r="N462" s="8" t="n">
        <v>4076.15</v>
      </c>
      <c r="O462" s="8" t="n">
        <v>-292.04</v>
      </c>
    </row>
    <row r="463" customFormat="false" ht="15" hidden="false" customHeight="true" outlineLevel="0" collapsed="false">
      <c r="A463" s="8" t="s">
        <v>1662</v>
      </c>
      <c r="B463" s="8" t="s">
        <v>1663</v>
      </c>
      <c r="C463" s="8" t="s">
        <v>475</v>
      </c>
      <c r="D463" s="8" t="s">
        <v>1664</v>
      </c>
      <c r="E463" s="8"/>
      <c r="F463" s="8" t="s">
        <v>35</v>
      </c>
      <c r="G463" s="8" t="s">
        <v>76</v>
      </c>
      <c r="H463" s="8" t="s">
        <v>142</v>
      </c>
      <c r="I463" s="8" t="s">
        <v>143</v>
      </c>
      <c r="J463" s="8" t="s">
        <v>39</v>
      </c>
      <c r="K463" s="8" t="n">
        <v>1</v>
      </c>
      <c r="L463" s="8" t="n">
        <v>38.31</v>
      </c>
      <c r="M463" s="8" t="n">
        <v>0.15</v>
      </c>
      <c r="N463" s="8" t="n">
        <v>32.56</v>
      </c>
      <c r="O463" s="8" t="n">
        <v>10.79</v>
      </c>
    </row>
    <row r="464" customFormat="false" ht="15" hidden="false" customHeight="true" outlineLevel="0" collapsed="false">
      <c r="A464" s="8" t="s">
        <v>1665</v>
      </c>
      <c r="B464" s="8" t="s">
        <v>1666</v>
      </c>
      <c r="C464" s="8" t="s">
        <v>1667</v>
      </c>
      <c r="D464" s="8"/>
      <c r="E464" s="8" t="s">
        <v>52</v>
      </c>
      <c r="F464" s="8" t="s">
        <v>61</v>
      </c>
      <c r="G464" s="8" t="s">
        <v>62</v>
      </c>
      <c r="H464" s="8" t="s">
        <v>148</v>
      </c>
      <c r="I464" s="8" t="s">
        <v>160</v>
      </c>
      <c r="J464" s="8" t="s">
        <v>39</v>
      </c>
      <c r="K464" s="8" t="n">
        <v>2</v>
      </c>
      <c r="L464" s="8" t="n">
        <v>770.91</v>
      </c>
      <c r="M464" s="8"/>
      <c r="N464" s="8" t="n">
        <v>1541.82</v>
      </c>
      <c r="O464" s="8" t="n">
        <v>-23.58</v>
      </c>
    </row>
    <row r="465" customFormat="false" ht="15" hidden="false" customHeight="true" outlineLevel="0" collapsed="false">
      <c r="A465" s="8" t="s">
        <v>1668</v>
      </c>
      <c r="B465" s="8" t="s">
        <v>1669</v>
      </c>
      <c r="C465" s="8"/>
      <c r="D465" s="8" t="s">
        <v>1670</v>
      </c>
      <c r="E465" s="8" t="s">
        <v>34</v>
      </c>
      <c r="F465" s="8" t="s">
        <v>173</v>
      </c>
      <c r="G465" s="8" t="s">
        <v>182</v>
      </c>
      <c r="H465" s="8" t="s">
        <v>114</v>
      </c>
      <c r="I465" s="8" t="s">
        <v>201</v>
      </c>
      <c r="J465" s="8" t="s">
        <v>47</v>
      </c>
      <c r="K465" s="8" t="n">
        <v>2</v>
      </c>
      <c r="L465" s="8" t="n">
        <v>884.42</v>
      </c>
      <c r="M465" s="8" t="n">
        <v>0.15</v>
      </c>
      <c r="N465" s="8" t="n">
        <v>1503.51</v>
      </c>
      <c r="O465" s="8" t="n">
        <v>-10.45</v>
      </c>
    </row>
    <row r="466" customFormat="false" ht="15" hidden="false" customHeight="true" outlineLevel="0" collapsed="false">
      <c r="A466" s="8" t="s">
        <v>1671</v>
      </c>
      <c r="B466" s="8" t="s">
        <v>1672</v>
      </c>
      <c r="C466" s="8" t="s">
        <v>1673</v>
      </c>
      <c r="D466" s="8" t="s">
        <v>1091</v>
      </c>
      <c r="E466" s="8" t="s">
        <v>52</v>
      </c>
      <c r="F466" s="8" t="s">
        <v>126</v>
      </c>
      <c r="G466" s="8" t="s">
        <v>89</v>
      </c>
      <c r="H466" s="8" t="s">
        <v>103</v>
      </c>
      <c r="I466" s="8" t="s">
        <v>133</v>
      </c>
      <c r="J466" s="8" t="s">
        <v>64</v>
      </c>
      <c r="K466" s="8" t="n">
        <v>1</v>
      </c>
      <c r="L466" s="8" t="n">
        <v>989.21</v>
      </c>
      <c r="M466" s="8" t="n">
        <v>0</v>
      </c>
      <c r="N466" s="8" t="n">
        <v>989.21</v>
      </c>
      <c r="O466" s="8" t="n">
        <v>97.62</v>
      </c>
    </row>
    <row r="467" customFormat="false" ht="15" hidden="false" customHeight="true" outlineLevel="0" collapsed="false">
      <c r="A467" s="8" t="s">
        <v>1674</v>
      </c>
      <c r="B467" s="8" t="s">
        <v>1675</v>
      </c>
      <c r="C467" s="8" t="s">
        <v>1676</v>
      </c>
      <c r="D467" s="8" t="s">
        <v>1677</v>
      </c>
      <c r="E467" s="8" t="s">
        <v>24</v>
      </c>
      <c r="F467" s="8" t="s">
        <v>372</v>
      </c>
      <c r="G467" s="8" t="s">
        <v>54</v>
      </c>
      <c r="H467" s="8" t="s">
        <v>206</v>
      </c>
      <c r="I467" s="8" t="s">
        <v>143</v>
      </c>
      <c r="J467" s="8" t="s">
        <v>29</v>
      </c>
      <c r="K467" s="8" t="n">
        <v>1</v>
      </c>
      <c r="L467" s="8" t="n">
        <v>1017.37</v>
      </c>
      <c r="M467" s="8" t="n">
        <v>0.1</v>
      </c>
      <c r="N467" s="8" t="n">
        <v>915.63</v>
      </c>
      <c r="O467" s="8" t="n">
        <v>-2205.52</v>
      </c>
    </row>
    <row r="468" customFormat="false" ht="15" hidden="false" customHeight="true" outlineLevel="0" collapsed="false">
      <c r="A468" s="8" t="s">
        <v>1678</v>
      </c>
      <c r="B468" s="8" t="s">
        <v>561</v>
      </c>
      <c r="C468" s="8" t="s">
        <v>1679</v>
      </c>
      <c r="D468" s="8" t="s">
        <v>131</v>
      </c>
      <c r="E468" s="8" t="s">
        <v>52</v>
      </c>
      <c r="F468" s="8" t="s">
        <v>35</v>
      </c>
      <c r="G468" s="8" t="s">
        <v>76</v>
      </c>
      <c r="H468" s="8" t="s">
        <v>142</v>
      </c>
      <c r="I468" s="8" t="s">
        <v>38</v>
      </c>
      <c r="J468" s="8" t="s">
        <v>39</v>
      </c>
      <c r="K468" s="8" t="n">
        <v>2</v>
      </c>
      <c r="L468" s="8" t="n">
        <v>1171.15</v>
      </c>
      <c r="M468" s="8"/>
      <c r="N468" s="8" t="n">
        <v>2342.3</v>
      </c>
      <c r="O468" s="8" t="n">
        <v>467.26</v>
      </c>
    </row>
    <row r="469" customFormat="false" ht="15" hidden="false" customHeight="true" outlineLevel="0" collapsed="false">
      <c r="A469" s="8" t="s">
        <v>1680</v>
      </c>
      <c r="B469" s="8" t="s">
        <v>232</v>
      </c>
      <c r="C469" s="8" t="s">
        <v>1158</v>
      </c>
      <c r="D469" s="8" t="s">
        <v>1681</v>
      </c>
      <c r="E469" s="8" t="s">
        <v>52</v>
      </c>
      <c r="F469" s="8" t="s">
        <v>154</v>
      </c>
      <c r="G469" s="8" t="s">
        <v>182</v>
      </c>
      <c r="H469" s="8" t="s">
        <v>27</v>
      </c>
      <c r="I469" s="8" t="s">
        <v>160</v>
      </c>
      <c r="J469" s="8" t="s">
        <v>29</v>
      </c>
      <c r="K469" s="8" t="n">
        <v>2</v>
      </c>
      <c r="L469" s="8" t="n">
        <v>474.71</v>
      </c>
      <c r="M469" s="8" t="n">
        <v>0.1</v>
      </c>
      <c r="N469" s="8" t="n">
        <v>854.48</v>
      </c>
      <c r="O469" s="8" t="n">
        <v>163.94</v>
      </c>
    </row>
    <row r="470" customFormat="false" ht="15" hidden="false" customHeight="true" outlineLevel="0" collapsed="false">
      <c r="A470" s="8" t="s">
        <v>1682</v>
      </c>
      <c r="B470" s="8" t="s">
        <v>455</v>
      </c>
      <c r="C470" s="8" t="s">
        <v>1467</v>
      </c>
      <c r="D470" s="8" t="s">
        <v>1683</v>
      </c>
      <c r="E470" s="8" t="s">
        <v>24</v>
      </c>
      <c r="F470" s="8" t="s">
        <v>44</v>
      </c>
      <c r="G470" s="8" t="s">
        <v>76</v>
      </c>
      <c r="H470" s="8" t="s">
        <v>45</v>
      </c>
      <c r="I470" s="8" t="s">
        <v>138</v>
      </c>
      <c r="J470" s="8" t="s">
        <v>39</v>
      </c>
      <c r="K470" s="8" t="n">
        <v>2</v>
      </c>
      <c r="L470" s="8" t="n">
        <v>685.32</v>
      </c>
      <c r="M470" s="8" t="n">
        <v>0.15</v>
      </c>
      <c r="N470" s="8" t="n">
        <v>1165.04</v>
      </c>
      <c r="O470" s="8" t="n">
        <v>123.49</v>
      </c>
    </row>
    <row r="471" customFormat="false" ht="15" hidden="false" customHeight="true" outlineLevel="0" collapsed="false">
      <c r="A471" s="8" t="s">
        <v>1041</v>
      </c>
      <c r="B471" s="8" t="s">
        <v>1042</v>
      </c>
      <c r="C471" s="8" t="s">
        <v>1043</v>
      </c>
      <c r="D471" s="8" t="s">
        <v>853</v>
      </c>
      <c r="E471" s="8"/>
      <c r="F471" s="8" t="s">
        <v>147</v>
      </c>
      <c r="G471" s="8" t="s">
        <v>326</v>
      </c>
      <c r="H471" s="8" t="s">
        <v>70</v>
      </c>
      <c r="I471" s="8" t="s">
        <v>425</v>
      </c>
      <c r="J471" s="8" t="s">
        <v>29</v>
      </c>
      <c r="K471" s="8" t="n">
        <v>4</v>
      </c>
      <c r="L471" s="8" t="n">
        <v>421.23</v>
      </c>
      <c r="M471" s="8" t="n">
        <v>0.1</v>
      </c>
      <c r="N471" s="8" t="n">
        <v>1516.43</v>
      </c>
      <c r="O471" s="8" t="n">
        <v>-52.14</v>
      </c>
    </row>
    <row r="472" customFormat="false" ht="15" hidden="false" customHeight="true" outlineLevel="0" collapsed="false">
      <c r="A472" s="8" t="s">
        <v>1684</v>
      </c>
      <c r="B472" s="8" t="s">
        <v>1672</v>
      </c>
      <c r="C472" s="8" t="s">
        <v>1685</v>
      </c>
      <c r="D472" s="8" t="s">
        <v>1686</v>
      </c>
      <c r="E472" s="8" t="s">
        <v>34</v>
      </c>
      <c r="F472" s="8" t="s">
        <v>200</v>
      </c>
      <c r="G472" s="8" t="s">
        <v>89</v>
      </c>
      <c r="H472" s="8" t="s">
        <v>120</v>
      </c>
      <c r="I472" s="8" t="s">
        <v>78</v>
      </c>
      <c r="J472" s="8" t="s">
        <v>29</v>
      </c>
      <c r="K472" s="8" t="n">
        <v>4</v>
      </c>
      <c r="L472" s="8" t="n">
        <v>389.89</v>
      </c>
      <c r="M472" s="8" t="n">
        <v>0.15</v>
      </c>
      <c r="N472" s="8" t="n">
        <v>1325.63</v>
      </c>
      <c r="O472" s="8" t="n">
        <v>366.7</v>
      </c>
    </row>
    <row r="473" customFormat="false" ht="15" hidden="false" customHeight="true" outlineLevel="0" collapsed="false">
      <c r="A473" s="8" t="s">
        <v>1687</v>
      </c>
      <c r="B473" s="8" t="s">
        <v>1688</v>
      </c>
      <c r="C473" s="8" t="s">
        <v>1689</v>
      </c>
      <c r="D473" s="8" t="s">
        <v>1690</v>
      </c>
      <c r="E473" s="8" t="s">
        <v>24</v>
      </c>
      <c r="F473" s="8" t="s">
        <v>372</v>
      </c>
      <c r="G473" s="8" t="s">
        <v>54</v>
      </c>
      <c r="H473" s="8" t="s">
        <v>95</v>
      </c>
      <c r="I473" s="8" t="s">
        <v>96</v>
      </c>
      <c r="J473" s="8" t="s">
        <v>29</v>
      </c>
      <c r="K473" s="8" t="n">
        <v>1</v>
      </c>
      <c r="L473" s="8" t="n">
        <v>10.57</v>
      </c>
      <c r="M473" s="8" t="n">
        <v>0.15</v>
      </c>
      <c r="N473" s="8" t="n">
        <v>8.98</v>
      </c>
      <c r="O473" s="8" t="n">
        <v>1.67</v>
      </c>
    </row>
    <row r="474" customFormat="false" ht="15" hidden="false" customHeight="true" outlineLevel="0" collapsed="false">
      <c r="A474" s="8" t="s">
        <v>1691</v>
      </c>
      <c r="B474" s="8" t="s">
        <v>1692</v>
      </c>
      <c r="C474" s="8" t="s">
        <v>1693</v>
      </c>
      <c r="D474" s="8" t="s">
        <v>1694</v>
      </c>
      <c r="E474" s="8" t="s">
        <v>34</v>
      </c>
      <c r="F474" s="8" t="s">
        <v>173</v>
      </c>
      <c r="G474" s="8" t="s">
        <v>182</v>
      </c>
      <c r="H474" s="8" t="s">
        <v>27</v>
      </c>
      <c r="I474" s="8" t="s">
        <v>160</v>
      </c>
      <c r="J474" s="8" t="s">
        <v>64</v>
      </c>
      <c r="K474" s="8" t="n">
        <v>2</v>
      </c>
      <c r="L474" s="8" t="n">
        <v>577.88</v>
      </c>
      <c r="M474" s="8"/>
      <c r="N474" s="8" t="n">
        <v>1155.76</v>
      </c>
      <c r="O474" s="8" t="n">
        <v>404.29</v>
      </c>
    </row>
    <row r="475" customFormat="false" ht="15" hidden="false" customHeight="true" outlineLevel="0" collapsed="false">
      <c r="A475" s="8" t="s">
        <v>1695</v>
      </c>
      <c r="B475" s="8" t="s">
        <v>1696</v>
      </c>
      <c r="C475" s="8" t="s">
        <v>1697</v>
      </c>
      <c r="D475" s="8" t="s">
        <v>68</v>
      </c>
      <c r="E475" s="8" t="s">
        <v>34</v>
      </c>
      <c r="F475" s="8" t="s">
        <v>61</v>
      </c>
      <c r="G475" s="8" t="s">
        <v>62</v>
      </c>
      <c r="H475" s="8" t="s">
        <v>83</v>
      </c>
      <c r="I475" s="8" t="s">
        <v>84</v>
      </c>
      <c r="J475" s="8" t="s">
        <v>29</v>
      </c>
      <c r="K475" s="8"/>
      <c r="L475" s="8" t="n">
        <v>763.8</v>
      </c>
      <c r="M475" s="8" t="n">
        <v>0.1</v>
      </c>
      <c r="N475" s="8" t="n">
        <v>687.42</v>
      </c>
      <c r="O475" s="8" t="n">
        <v>126.44</v>
      </c>
    </row>
    <row r="476" customFormat="false" ht="15" hidden="false" customHeight="true" outlineLevel="0" collapsed="false">
      <c r="A476" s="8" t="s">
        <v>1698</v>
      </c>
      <c r="B476" s="8" t="s">
        <v>1699</v>
      </c>
      <c r="C476" s="8" t="s">
        <v>106</v>
      </c>
      <c r="D476" s="8" t="s">
        <v>1700</v>
      </c>
      <c r="E476" s="8" t="s">
        <v>52</v>
      </c>
      <c r="F476" s="8" t="s">
        <v>94</v>
      </c>
      <c r="G476" s="8" t="s">
        <v>326</v>
      </c>
      <c r="H476" s="8" t="s">
        <v>103</v>
      </c>
      <c r="I476" s="8" t="s">
        <v>56</v>
      </c>
      <c r="J476" s="8" t="s">
        <v>39</v>
      </c>
      <c r="K476" s="8" t="n">
        <v>3</v>
      </c>
      <c r="L476" s="8" t="n">
        <v>658.83</v>
      </c>
      <c r="M476" s="8"/>
      <c r="N476" s="8" t="n">
        <v>1976.49</v>
      </c>
      <c r="O476" s="8" t="n">
        <v>125.5</v>
      </c>
    </row>
    <row r="477" customFormat="false" ht="15" hidden="false" customHeight="true" outlineLevel="0" collapsed="false">
      <c r="A477" s="8" t="s">
        <v>1701</v>
      </c>
      <c r="B477" s="8" t="s">
        <v>1702</v>
      </c>
      <c r="C477" s="8" t="s">
        <v>1703</v>
      </c>
      <c r="D477" s="8" t="s">
        <v>1704</v>
      </c>
      <c r="E477" s="8"/>
      <c r="F477" s="8" t="s">
        <v>25</v>
      </c>
      <c r="G477" s="8" t="s">
        <v>82</v>
      </c>
      <c r="H477" s="8" t="s">
        <v>37</v>
      </c>
      <c r="I477" s="8" t="s">
        <v>38</v>
      </c>
      <c r="J477" s="8" t="s">
        <v>47</v>
      </c>
      <c r="K477" s="8" t="n">
        <v>2</v>
      </c>
      <c r="L477" s="8" t="n">
        <v>1152.82</v>
      </c>
      <c r="M477" s="8" t="n">
        <v>0</v>
      </c>
      <c r="N477" s="8" t="n">
        <v>2305.64</v>
      </c>
      <c r="O477" s="8" t="n">
        <v>803.2</v>
      </c>
    </row>
    <row r="478" customFormat="false" ht="15" hidden="false" customHeight="true" outlineLevel="0" collapsed="false">
      <c r="A478" s="8" t="s">
        <v>1705</v>
      </c>
      <c r="B478" s="8" t="s">
        <v>1669</v>
      </c>
      <c r="C478" s="8" t="s">
        <v>1628</v>
      </c>
      <c r="D478" s="8" t="s">
        <v>1274</v>
      </c>
      <c r="E478" s="8" t="s">
        <v>24</v>
      </c>
      <c r="F478" s="8" t="s">
        <v>53</v>
      </c>
      <c r="G478" s="8" t="s">
        <v>326</v>
      </c>
      <c r="H478" s="8" t="s">
        <v>114</v>
      </c>
      <c r="I478" s="8" t="s">
        <v>297</v>
      </c>
      <c r="J478" s="8" t="s">
        <v>47</v>
      </c>
      <c r="K478" s="8" t="n">
        <v>3</v>
      </c>
      <c r="L478" s="8" t="n">
        <v>613.1</v>
      </c>
      <c r="M478" s="8" t="n">
        <v>0.1</v>
      </c>
      <c r="N478" s="8" t="n">
        <v>1655.37</v>
      </c>
      <c r="O478" s="8" t="n">
        <v>213.06</v>
      </c>
    </row>
    <row r="479" customFormat="false" ht="15" hidden="false" customHeight="true" outlineLevel="0" collapsed="false">
      <c r="A479" s="8" t="s">
        <v>1706</v>
      </c>
      <c r="B479" s="8" t="s">
        <v>1707</v>
      </c>
      <c r="C479" s="8" t="s">
        <v>1708</v>
      </c>
      <c r="D479" s="8"/>
      <c r="E479" s="8" t="s">
        <v>34</v>
      </c>
      <c r="F479" s="8" t="s">
        <v>94</v>
      </c>
      <c r="G479" s="8" t="s">
        <v>326</v>
      </c>
      <c r="H479" s="8" t="s">
        <v>120</v>
      </c>
      <c r="I479" s="8" t="s">
        <v>127</v>
      </c>
      <c r="J479" s="8" t="s">
        <v>29</v>
      </c>
      <c r="K479" s="8" t="n">
        <v>2</v>
      </c>
      <c r="L479" s="8" t="n">
        <v>475.23</v>
      </c>
      <c r="M479" s="8" t="n">
        <v>0.15</v>
      </c>
      <c r="N479" s="8" t="n">
        <v>807.89</v>
      </c>
      <c r="O479" s="8" t="n">
        <v>154.47</v>
      </c>
    </row>
    <row r="480" customFormat="false" ht="15" hidden="false" customHeight="true" outlineLevel="0" collapsed="false">
      <c r="A480" s="8" t="s">
        <v>1709</v>
      </c>
      <c r="B480" s="8" t="s">
        <v>1710</v>
      </c>
      <c r="C480" s="8" t="s">
        <v>1711</v>
      </c>
      <c r="D480" s="8" t="s">
        <v>898</v>
      </c>
      <c r="E480" s="8" t="s">
        <v>34</v>
      </c>
      <c r="F480" s="8" t="s">
        <v>200</v>
      </c>
      <c r="G480" s="8" t="s">
        <v>82</v>
      </c>
      <c r="H480" s="8" t="s">
        <v>191</v>
      </c>
      <c r="I480" s="8" t="s">
        <v>121</v>
      </c>
      <c r="J480" s="8" t="s">
        <v>47</v>
      </c>
      <c r="K480" s="8" t="n">
        <v>1</v>
      </c>
      <c r="L480" s="8" t="n">
        <v>553.62</v>
      </c>
      <c r="M480" s="8"/>
      <c r="N480" s="8" t="n">
        <v>553.62</v>
      </c>
      <c r="O480" s="8" t="n">
        <v>45.15</v>
      </c>
    </row>
    <row r="481" customFormat="false" ht="15" hidden="false" customHeight="true" outlineLevel="0" collapsed="false">
      <c r="A481" s="8" t="s">
        <v>1712</v>
      </c>
      <c r="B481" s="8" t="s">
        <v>1713</v>
      </c>
      <c r="C481" s="8" t="s">
        <v>1714</v>
      </c>
      <c r="D481" s="8" t="s">
        <v>1715</v>
      </c>
      <c r="E481" s="8"/>
      <c r="F481" s="8" t="s">
        <v>229</v>
      </c>
      <c r="G481" s="8" t="s">
        <v>102</v>
      </c>
      <c r="H481" s="8" t="s">
        <v>280</v>
      </c>
      <c r="I481" s="8" t="s">
        <v>109</v>
      </c>
      <c r="J481" s="8" t="s">
        <v>64</v>
      </c>
      <c r="K481" s="8" t="n">
        <v>1</v>
      </c>
      <c r="L481" s="8" t="n">
        <v>20.34</v>
      </c>
      <c r="M481" s="8" t="n">
        <v>0.2</v>
      </c>
      <c r="N481" s="8" t="n">
        <v>16.27</v>
      </c>
      <c r="O481" s="8" t="n">
        <v>3.07</v>
      </c>
    </row>
    <row r="482" customFormat="false" ht="15" hidden="false" customHeight="true" outlineLevel="0" collapsed="false">
      <c r="A482" s="8" t="s">
        <v>1716</v>
      </c>
      <c r="B482" s="8" t="s">
        <v>1717</v>
      </c>
      <c r="C482" s="8" t="s">
        <v>1718</v>
      </c>
      <c r="D482" s="8" t="s">
        <v>1719</v>
      </c>
      <c r="E482" s="8"/>
      <c r="F482" s="8" t="s">
        <v>200</v>
      </c>
      <c r="G482" s="8" t="s">
        <v>26</v>
      </c>
      <c r="H482" s="8" t="s">
        <v>148</v>
      </c>
      <c r="I482" s="8" t="s">
        <v>160</v>
      </c>
      <c r="J482" s="8" t="s">
        <v>29</v>
      </c>
      <c r="K482" s="8" t="n">
        <v>4</v>
      </c>
      <c r="L482" s="8" t="n">
        <v>1121.97</v>
      </c>
      <c r="M482" s="8" t="n">
        <v>0.05</v>
      </c>
      <c r="N482" s="8" t="n">
        <v>4263.49</v>
      </c>
      <c r="O482" s="8" t="n">
        <v>-10848.32</v>
      </c>
    </row>
    <row r="483" customFormat="false" ht="15" hidden="false" customHeight="true" outlineLevel="0" collapsed="false">
      <c r="A483" s="8" t="s">
        <v>1720</v>
      </c>
      <c r="B483" s="8" t="s">
        <v>819</v>
      </c>
      <c r="C483" s="8" t="s">
        <v>1721</v>
      </c>
      <c r="D483" s="8" t="s">
        <v>1536</v>
      </c>
      <c r="E483" s="8" t="s">
        <v>34</v>
      </c>
      <c r="F483" s="8" t="s">
        <v>35</v>
      </c>
      <c r="G483" s="8" t="s">
        <v>76</v>
      </c>
      <c r="H483" s="8" t="s">
        <v>206</v>
      </c>
      <c r="I483" s="8" t="s">
        <v>404</v>
      </c>
      <c r="J483" s="8" t="s">
        <v>39</v>
      </c>
      <c r="K483" s="8" t="n">
        <v>1</v>
      </c>
      <c r="L483" s="8" t="n">
        <v>1167.13</v>
      </c>
      <c r="M483" s="8" t="n">
        <v>0.05</v>
      </c>
      <c r="N483" s="8" t="n">
        <v>1108.77</v>
      </c>
      <c r="O483" s="8" t="n">
        <v>109.52</v>
      </c>
    </row>
    <row r="484" customFormat="false" ht="15" hidden="false" customHeight="true" outlineLevel="0" collapsed="false">
      <c r="A484" s="8" t="s">
        <v>1722</v>
      </c>
      <c r="B484" s="8" t="s">
        <v>1723</v>
      </c>
      <c r="C484" s="8" t="s">
        <v>1724</v>
      </c>
      <c r="D484" s="8" t="s">
        <v>1725</v>
      </c>
      <c r="E484" s="8" t="s">
        <v>34</v>
      </c>
      <c r="F484" s="8" t="s">
        <v>200</v>
      </c>
      <c r="G484" s="8" t="s">
        <v>26</v>
      </c>
      <c r="H484" s="8" t="s">
        <v>55</v>
      </c>
      <c r="I484" s="8" t="s">
        <v>63</v>
      </c>
      <c r="J484" s="8" t="s">
        <v>29</v>
      </c>
      <c r="K484" s="8" t="n">
        <v>5</v>
      </c>
      <c r="L484" s="8" t="n">
        <v>634.7</v>
      </c>
      <c r="M484" s="8"/>
      <c r="N484" s="8" t="n">
        <v>3173.5</v>
      </c>
      <c r="O484" s="8" t="n">
        <v>480.05</v>
      </c>
    </row>
    <row r="485" customFormat="false" ht="15" hidden="false" customHeight="true" outlineLevel="0" collapsed="false">
      <c r="A485" s="8" t="s">
        <v>1726</v>
      </c>
      <c r="B485" s="8" t="s">
        <v>1727</v>
      </c>
      <c r="C485" s="8" t="s">
        <v>1728</v>
      </c>
      <c r="D485" s="8" t="s">
        <v>1729</v>
      </c>
      <c r="E485" s="8" t="s">
        <v>24</v>
      </c>
      <c r="F485" s="8" t="s">
        <v>101</v>
      </c>
      <c r="G485" s="8" t="s">
        <v>119</v>
      </c>
      <c r="H485" s="8" t="s">
        <v>77</v>
      </c>
      <c r="I485" s="8" t="s">
        <v>71</v>
      </c>
      <c r="J485" s="8" t="s">
        <v>39</v>
      </c>
      <c r="K485" s="8" t="n">
        <v>1</v>
      </c>
      <c r="L485" s="8" t="n">
        <v>1122.68</v>
      </c>
      <c r="M485" s="8"/>
      <c r="N485" s="8" t="n">
        <v>1122.68</v>
      </c>
      <c r="O485" s="8" t="n">
        <v>139.15</v>
      </c>
    </row>
    <row r="486" customFormat="false" ht="15" hidden="false" customHeight="true" outlineLevel="0" collapsed="false">
      <c r="A486" s="8" t="s">
        <v>1730</v>
      </c>
      <c r="B486" s="8" t="s">
        <v>729</v>
      </c>
      <c r="C486" s="8" t="s">
        <v>1731</v>
      </c>
      <c r="D486" s="8" t="s">
        <v>1719</v>
      </c>
      <c r="E486" s="8" t="s">
        <v>52</v>
      </c>
      <c r="F486" s="8" t="s">
        <v>126</v>
      </c>
      <c r="G486" s="8" t="s">
        <v>82</v>
      </c>
      <c r="H486" s="8" t="s">
        <v>27</v>
      </c>
      <c r="I486" s="8" t="s">
        <v>46</v>
      </c>
      <c r="J486" s="8" t="s">
        <v>64</v>
      </c>
      <c r="K486" s="8" t="n">
        <v>2</v>
      </c>
      <c r="L486" s="8" t="n">
        <v>303.86</v>
      </c>
      <c r="M486" s="8" t="n">
        <v>0.05</v>
      </c>
      <c r="N486" s="8" t="n">
        <v>577.33</v>
      </c>
      <c r="O486" s="8" t="n">
        <v>148.57</v>
      </c>
    </row>
    <row r="487" customFormat="false" ht="15" hidden="false" customHeight="true" outlineLevel="0" collapsed="false">
      <c r="A487" s="8" t="s">
        <v>1732</v>
      </c>
      <c r="B487" s="8" t="s">
        <v>1733</v>
      </c>
      <c r="C487" s="8" t="s">
        <v>1734</v>
      </c>
      <c r="D487" s="8" t="s">
        <v>1735</v>
      </c>
      <c r="E487" s="8" t="s">
        <v>24</v>
      </c>
      <c r="F487" s="8" t="s">
        <v>173</v>
      </c>
      <c r="G487" s="8" t="s">
        <v>119</v>
      </c>
      <c r="H487" s="8" t="s">
        <v>206</v>
      </c>
      <c r="I487" s="8" t="s">
        <v>38</v>
      </c>
      <c r="J487" s="8" t="s">
        <v>64</v>
      </c>
      <c r="K487" s="8" t="n">
        <v>4</v>
      </c>
      <c r="L487" s="8" t="n">
        <v>1111.62</v>
      </c>
      <c r="M487" s="8" t="n">
        <v>0.15</v>
      </c>
      <c r="N487" s="8" t="n">
        <v>3779.51</v>
      </c>
      <c r="O487" s="8" t="n">
        <v>948.55</v>
      </c>
    </row>
    <row r="488" customFormat="false" ht="15" hidden="false" customHeight="true" outlineLevel="0" collapsed="false">
      <c r="A488" s="8" t="s">
        <v>1736</v>
      </c>
      <c r="B488" s="8" t="s">
        <v>1737</v>
      </c>
      <c r="C488" s="8" t="s">
        <v>1738</v>
      </c>
      <c r="D488" s="8" t="s">
        <v>1739</v>
      </c>
      <c r="E488" s="8" t="s">
        <v>24</v>
      </c>
      <c r="F488" s="8" t="s">
        <v>147</v>
      </c>
      <c r="G488" s="8" t="s">
        <v>326</v>
      </c>
      <c r="H488" s="8" t="s">
        <v>120</v>
      </c>
      <c r="I488" s="8" t="s">
        <v>78</v>
      </c>
      <c r="J488" s="8" t="s">
        <v>39</v>
      </c>
      <c r="K488" s="8"/>
      <c r="L488" s="8" t="n">
        <v>590.91</v>
      </c>
      <c r="M488" s="8" t="n">
        <v>0.15</v>
      </c>
      <c r="N488" s="8" t="n">
        <v>502.27</v>
      </c>
      <c r="O488" s="8" t="n">
        <v>116.17</v>
      </c>
    </row>
    <row r="489" customFormat="false" ht="15" hidden="false" customHeight="true" outlineLevel="0" collapsed="false">
      <c r="A489" s="8" t="s">
        <v>1740</v>
      </c>
      <c r="B489" s="8" t="s">
        <v>1741</v>
      </c>
      <c r="C489" s="8" t="s">
        <v>1742</v>
      </c>
      <c r="D489" s="8" t="s">
        <v>1743</v>
      </c>
      <c r="E489" s="8"/>
      <c r="F489" s="8" t="s">
        <v>25</v>
      </c>
      <c r="G489" s="8" t="s">
        <v>89</v>
      </c>
      <c r="H489" s="8" t="s">
        <v>132</v>
      </c>
      <c r="I489" s="8" t="s">
        <v>56</v>
      </c>
      <c r="J489" s="8" t="s">
        <v>39</v>
      </c>
      <c r="K489" s="8" t="n">
        <v>3</v>
      </c>
      <c r="L489" s="8" t="n">
        <v>365.25</v>
      </c>
      <c r="M489" s="8" t="n">
        <v>0.05</v>
      </c>
      <c r="N489" s="8" t="n">
        <v>1040.96</v>
      </c>
      <c r="O489" s="8" t="n">
        <v>83.63</v>
      </c>
    </row>
    <row r="490" customFormat="false" ht="15" hidden="false" customHeight="true" outlineLevel="0" collapsed="false">
      <c r="A490" s="8" t="s">
        <v>1744</v>
      </c>
      <c r="B490" s="8" t="s">
        <v>1745</v>
      </c>
      <c r="C490" s="8" t="s">
        <v>615</v>
      </c>
      <c r="D490" s="8" t="s">
        <v>440</v>
      </c>
      <c r="E490" s="8" t="s">
        <v>52</v>
      </c>
      <c r="F490" s="8" t="s">
        <v>147</v>
      </c>
      <c r="G490" s="8" t="s">
        <v>326</v>
      </c>
      <c r="H490" s="8" t="s">
        <v>206</v>
      </c>
      <c r="I490" s="8" t="s">
        <v>38</v>
      </c>
      <c r="J490" s="8" t="s">
        <v>64</v>
      </c>
      <c r="K490" s="8"/>
      <c r="L490" s="8" t="n">
        <v>591.34</v>
      </c>
      <c r="M490" s="8" t="n">
        <v>0.1</v>
      </c>
      <c r="N490" s="8" t="n">
        <v>532.21</v>
      </c>
      <c r="O490" s="8" t="n">
        <v>26.71</v>
      </c>
    </row>
    <row r="491" customFormat="false" ht="15" hidden="false" customHeight="true" outlineLevel="0" collapsed="false">
      <c r="A491" s="8" t="s">
        <v>1746</v>
      </c>
      <c r="B491" s="8" t="s">
        <v>1747</v>
      </c>
      <c r="C491" s="8" t="s">
        <v>1228</v>
      </c>
      <c r="D491" s="8" t="s">
        <v>1748</v>
      </c>
      <c r="E491" s="8" t="s">
        <v>34</v>
      </c>
      <c r="F491" s="8" t="s">
        <v>154</v>
      </c>
      <c r="G491" s="8" t="s">
        <v>119</v>
      </c>
      <c r="H491" s="8" t="s">
        <v>245</v>
      </c>
      <c r="I491" s="8" t="s">
        <v>201</v>
      </c>
      <c r="J491" s="8" t="s">
        <v>29</v>
      </c>
      <c r="K491" s="8" t="n">
        <v>3</v>
      </c>
      <c r="L491" s="8" t="n">
        <v>678.08</v>
      </c>
      <c r="M491" s="8"/>
      <c r="N491" s="8" t="n">
        <v>2034.24</v>
      </c>
      <c r="O491" s="8"/>
    </row>
    <row r="492" customFormat="false" ht="15" hidden="false" customHeight="true" outlineLevel="0" collapsed="false">
      <c r="A492" s="8" t="s">
        <v>1749</v>
      </c>
      <c r="B492" s="8" t="s">
        <v>1750</v>
      </c>
      <c r="C492" s="8" t="s">
        <v>1751</v>
      </c>
      <c r="D492" s="8" t="s">
        <v>1752</v>
      </c>
      <c r="E492" s="8" t="s">
        <v>24</v>
      </c>
      <c r="F492" s="8" t="s">
        <v>101</v>
      </c>
      <c r="G492" s="8" t="s">
        <v>102</v>
      </c>
      <c r="H492" s="8" t="s">
        <v>103</v>
      </c>
      <c r="I492" s="8" t="s">
        <v>104</v>
      </c>
      <c r="J492" s="8" t="s">
        <v>29</v>
      </c>
      <c r="K492" s="8" t="n">
        <v>1</v>
      </c>
      <c r="L492" s="8" t="n">
        <v>65.45</v>
      </c>
      <c r="M492" s="8" t="n">
        <v>0.2</v>
      </c>
      <c r="N492" s="8" t="n">
        <v>52.36</v>
      </c>
      <c r="O492" s="8" t="n">
        <v>-128.24</v>
      </c>
    </row>
    <row r="493" customFormat="false" ht="15" hidden="false" customHeight="true" outlineLevel="0" collapsed="false">
      <c r="A493" s="8" t="s">
        <v>1753</v>
      </c>
      <c r="B493" s="8" t="s">
        <v>1754</v>
      </c>
      <c r="C493" s="8"/>
      <c r="D493" s="8" t="s">
        <v>1755</v>
      </c>
      <c r="E493" s="8"/>
      <c r="F493" s="8" t="s">
        <v>94</v>
      </c>
      <c r="G493" s="8" t="s">
        <v>326</v>
      </c>
      <c r="H493" s="8" t="s">
        <v>70</v>
      </c>
      <c r="I493" s="8" t="s">
        <v>127</v>
      </c>
      <c r="J493" s="8" t="s">
        <v>64</v>
      </c>
      <c r="K493" s="8" t="n">
        <v>2</v>
      </c>
      <c r="L493" s="8" t="n">
        <v>67.15</v>
      </c>
      <c r="M493" s="8" t="n">
        <v>0.05</v>
      </c>
      <c r="N493" s="8" t="n">
        <v>127.59</v>
      </c>
      <c r="O493" s="8" t="n">
        <v>-8.15</v>
      </c>
    </row>
    <row r="494" customFormat="false" ht="15" hidden="false" customHeight="true" outlineLevel="0" collapsed="false">
      <c r="A494" s="8" t="s">
        <v>1756</v>
      </c>
      <c r="B494" s="8" t="s">
        <v>1757</v>
      </c>
      <c r="C494" s="8" t="s">
        <v>1758</v>
      </c>
      <c r="D494" s="8" t="s">
        <v>837</v>
      </c>
      <c r="E494" s="8"/>
      <c r="F494" s="8" t="s">
        <v>69</v>
      </c>
      <c r="G494" s="8" t="s">
        <v>82</v>
      </c>
      <c r="H494" s="8" t="s">
        <v>27</v>
      </c>
      <c r="I494" s="8" t="s">
        <v>46</v>
      </c>
      <c r="J494" s="8" t="s">
        <v>29</v>
      </c>
      <c r="K494" s="8" t="n">
        <v>1</v>
      </c>
      <c r="L494" s="8" t="n">
        <v>825.36</v>
      </c>
      <c r="M494" s="8" t="n">
        <v>0.2</v>
      </c>
      <c r="N494" s="8" t="n">
        <v>660.29</v>
      </c>
      <c r="O494" s="8" t="n">
        <v>79.85</v>
      </c>
    </row>
    <row r="495" customFormat="false" ht="15" hidden="false" customHeight="true" outlineLevel="0" collapsed="false">
      <c r="A495" s="8" t="s">
        <v>1759</v>
      </c>
      <c r="B495" s="8" t="s">
        <v>1760</v>
      </c>
      <c r="C495" s="8" t="s">
        <v>1761</v>
      </c>
      <c r="D495" s="8" t="s">
        <v>1762</v>
      </c>
      <c r="E495" s="8" t="s">
        <v>24</v>
      </c>
      <c r="F495" s="8" t="s">
        <v>25</v>
      </c>
      <c r="G495" s="8" t="s">
        <v>89</v>
      </c>
      <c r="H495" s="8" t="s">
        <v>70</v>
      </c>
      <c r="I495" s="8" t="s">
        <v>425</v>
      </c>
      <c r="J495" s="8" t="s">
        <v>39</v>
      </c>
      <c r="K495" s="8" t="n">
        <v>4</v>
      </c>
      <c r="L495" s="8" t="n">
        <v>930.85</v>
      </c>
      <c r="M495" s="8" t="n">
        <v>0.15</v>
      </c>
      <c r="N495" s="8" t="n">
        <v>3164.89</v>
      </c>
      <c r="O495" s="8" t="n">
        <v>-36.73</v>
      </c>
    </row>
    <row r="496" customFormat="false" ht="15" hidden="false" customHeight="true" outlineLevel="0" collapsed="false">
      <c r="A496" s="8" t="s">
        <v>1763</v>
      </c>
      <c r="B496" s="8" t="s">
        <v>1764</v>
      </c>
      <c r="C496" s="8" t="s">
        <v>1765</v>
      </c>
      <c r="D496" s="8" t="s">
        <v>1766</v>
      </c>
      <c r="E496" s="8" t="s">
        <v>34</v>
      </c>
      <c r="F496" s="8" t="s">
        <v>69</v>
      </c>
      <c r="G496" s="8" t="s">
        <v>26</v>
      </c>
      <c r="H496" s="8" t="s">
        <v>245</v>
      </c>
      <c r="I496" s="8" t="s">
        <v>201</v>
      </c>
      <c r="J496" s="8" t="s">
        <v>39</v>
      </c>
      <c r="K496" s="8" t="n">
        <v>2</v>
      </c>
      <c r="L496" s="8" t="n">
        <v>462.04</v>
      </c>
      <c r="M496" s="8" t="n">
        <v>0.05</v>
      </c>
      <c r="N496" s="8" t="n">
        <v>877.88</v>
      </c>
      <c r="O496" s="8" t="n">
        <v>274</v>
      </c>
    </row>
    <row r="497" customFormat="false" ht="15" hidden="false" customHeight="true" outlineLevel="0" collapsed="false">
      <c r="A497" s="8" t="s">
        <v>1767</v>
      </c>
      <c r="B497" s="8" t="s">
        <v>1768</v>
      </c>
      <c r="C497" s="8" t="s">
        <v>1391</v>
      </c>
      <c r="D497" s="8" t="s">
        <v>1769</v>
      </c>
      <c r="E497" s="8" t="s">
        <v>34</v>
      </c>
      <c r="F497" s="8" t="s">
        <v>61</v>
      </c>
      <c r="G497" s="8" t="s">
        <v>62</v>
      </c>
      <c r="H497" s="8" t="s">
        <v>77</v>
      </c>
      <c r="I497" s="8" t="s">
        <v>78</v>
      </c>
      <c r="J497" s="8" t="s">
        <v>47</v>
      </c>
      <c r="K497" s="8" t="n">
        <v>2</v>
      </c>
      <c r="L497" s="8" t="n">
        <v>687.32</v>
      </c>
      <c r="M497" s="8" t="n">
        <v>0.15</v>
      </c>
      <c r="N497" s="8" t="n">
        <v>1168.44</v>
      </c>
      <c r="O497" s="8" t="n">
        <v>100.77</v>
      </c>
    </row>
    <row r="498" customFormat="false" ht="15" hidden="false" customHeight="true" outlineLevel="0" collapsed="false">
      <c r="A498" s="8" t="s">
        <v>1770</v>
      </c>
      <c r="B498" s="8" t="s">
        <v>1771</v>
      </c>
      <c r="C498" s="8" t="s">
        <v>1772</v>
      </c>
      <c r="D498" s="8" t="s">
        <v>1773</v>
      </c>
      <c r="E498" s="8" t="s">
        <v>52</v>
      </c>
      <c r="F498" s="8" t="s">
        <v>44</v>
      </c>
      <c r="G498" s="8" t="s">
        <v>36</v>
      </c>
      <c r="H498" s="8" t="s">
        <v>155</v>
      </c>
      <c r="I498" s="8" t="s">
        <v>28</v>
      </c>
      <c r="J498" s="8" t="s">
        <v>29</v>
      </c>
      <c r="K498" s="8" t="n">
        <v>2</v>
      </c>
      <c r="L498" s="8" t="n">
        <v>1192.13</v>
      </c>
      <c r="M498" s="8" t="n">
        <v>0.1</v>
      </c>
      <c r="N498" s="8" t="n">
        <v>2145.83</v>
      </c>
      <c r="O498" s="8" t="n">
        <v>279.11</v>
      </c>
    </row>
    <row r="499" customFormat="false" ht="15" hidden="false" customHeight="true" outlineLevel="0" collapsed="false">
      <c r="A499" s="8" t="s">
        <v>1774</v>
      </c>
      <c r="B499" s="8" t="s">
        <v>1775</v>
      </c>
      <c r="C499" s="8" t="s">
        <v>1776</v>
      </c>
      <c r="D499" s="8" t="s">
        <v>1777</v>
      </c>
      <c r="E499" s="8" t="s">
        <v>52</v>
      </c>
      <c r="F499" s="8" t="s">
        <v>61</v>
      </c>
      <c r="G499" s="8" t="s">
        <v>76</v>
      </c>
      <c r="H499" s="8" t="s">
        <v>77</v>
      </c>
      <c r="I499" s="8" t="s">
        <v>127</v>
      </c>
      <c r="J499" s="8" t="s">
        <v>64</v>
      </c>
      <c r="K499" s="8" t="n">
        <v>1</v>
      </c>
      <c r="L499" s="8" t="n">
        <v>113.05</v>
      </c>
      <c r="M499" s="8"/>
      <c r="N499" s="8" t="n">
        <v>113.05</v>
      </c>
      <c r="O499" s="8" t="n">
        <v>-6.66</v>
      </c>
    </row>
    <row r="500" customFormat="false" ht="15" hidden="false" customHeight="true" outlineLevel="0" collapsed="false">
      <c r="A500" s="8" t="s">
        <v>1778</v>
      </c>
      <c r="B500" s="8" t="s">
        <v>1779</v>
      </c>
      <c r="C500" s="8" t="s">
        <v>379</v>
      </c>
      <c r="D500" s="8" t="s">
        <v>1780</v>
      </c>
      <c r="E500" s="8"/>
      <c r="F500" s="8" t="s">
        <v>61</v>
      </c>
      <c r="G500" s="8" t="s">
        <v>76</v>
      </c>
      <c r="H500" s="8" t="s">
        <v>148</v>
      </c>
      <c r="I500" s="8" t="s">
        <v>149</v>
      </c>
      <c r="J500" s="8" t="s">
        <v>47</v>
      </c>
      <c r="K500" s="8" t="n">
        <v>5</v>
      </c>
      <c r="L500" s="8" t="n">
        <v>320.64</v>
      </c>
      <c r="M500" s="8"/>
      <c r="N500" s="8" t="n">
        <v>1603.2</v>
      </c>
      <c r="O500" s="8" t="n">
        <v>125.22</v>
      </c>
    </row>
    <row r="501" customFormat="false" ht="15" hidden="false" customHeight="true" outlineLevel="0" collapsed="false">
      <c r="A501" s="8" t="s">
        <v>1781</v>
      </c>
      <c r="B501" s="8" t="s">
        <v>1782</v>
      </c>
      <c r="C501" s="8" t="s">
        <v>1783</v>
      </c>
      <c r="D501" s="8" t="s">
        <v>1123</v>
      </c>
      <c r="E501" s="8"/>
      <c r="F501" s="8" t="s">
        <v>147</v>
      </c>
      <c r="G501" s="8" t="s">
        <v>326</v>
      </c>
      <c r="H501" s="8" t="s">
        <v>55</v>
      </c>
      <c r="I501" s="8" t="s">
        <v>56</v>
      </c>
      <c r="J501" s="8" t="s">
        <v>29</v>
      </c>
      <c r="K501" s="8"/>
      <c r="L501" s="8" t="n">
        <v>791.22</v>
      </c>
      <c r="M501" s="8" t="n">
        <v>0.05</v>
      </c>
      <c r="N501" s="8" t="n">
        <v>751.66</v>
      </c>
      <c r="O501" s="8" t="n">
        <v>-14.35</v>
      </c>
    </row>
    <row r="502" customFormat="false" ht="15" hidden="false" customHeight="true" outlineLevel="0" collapsed="false">
      <c r="A502" s="8" t="s">
        <v>1784</v>
      </c>
      <c r="B502" s="8" t="s">
        <v>1785</v>
      </c>
      <c r="C502" s="8" t="s">
        <v>1786</v>
      </c>
      <c r="D502" s="8" t="s">
        <v>1787</v>
      </c>
      <c r="E502" s="8" t="s">
        <v>24</v>
      </c>
      <c r="F502" s="8" t="s">
        <v>25</v>
      </c>
      <c r="G502" s="8" t="s">
        <v>82</v>
      </c>
      <c r="H502" s="8" t="s">
        <v>103</v>
      </c>
      <c r="I502" s="8" t="s">
        <v>56</v>
      </c>
      <c r="J502" s="8" t="s">
        <v>64</v>
      </c>
      <c r="K502" s="8" t="n">
        <v>2</v>
      </c>
      <c r="L502" s="8" t="n">
        <v>81.51</v>
      </c>
      <c r="M502" s="8" t="n">
        <v>0</v>
      </c>
      <c r="N502" s="8" t="n">
        <v>163.02</v>
      </c>
      <c r="O502" s="8" t="n">
        <v>50.12</v>
      </c>
    </row>
    <row r="503" customFormat="false" ht="15" hidden="false" customHeight="true" outlineLevel="0" collapsed="false">
      <c r="A503" s="8" t="s">
        <v>818</v>
      </c>
      <c r="B503" s="8" t="s">
        <v>819</v>
      </c>
      <c r="C503" s="8" t="s">
        <v>820</v>
      </c>
      <c r="D503" s="8" t="s">
        <v>821</v>
      </c>
      <c r="E503" s="8"/>
      <c r="F503" s="8" t="s">
        <v>35</v>
      </c>
      <c r="G503" s="8" t="s">
        <v>62</v>
      </c>
      <c r="H503" s="8" t="s">
        <v>191</v>
      </c>
      <c r="I503" s="8" t="s">
        <v>71</v>
      </c>
      <c r="J503" s="8" t="s">
        <v>47</v>
      </c>
      <c r="K503" s="8" t="n">
        <v>4</v>
      </c>
      <c r="L503" s="8" t="n">
        <v>1035.1</v>
      </c>
      <c r="M503" s="8" t="n">
        <v>0</v>
      </c>
      <c r="N503" s="8" t="n">
        <v>4140.4</v>
      </c>
      <c r="O503" s="8" t="n">
        <v>617.39</v>
      </c>
    </row>
    <row r="504" customFormat="false" ht="15" hidden="false" customHeight="true" outlineLevel="0" collapsed="false">
      <c r="A504" s="8" t="s">
        <v>1788</v>
      </c>
      <c r="B504" s="8" t="s">
        <v>21</v>
      </c>
      <c r="C504" s="8" t="s">
        <v>1789</v>
      </c>
      <c r="D504" s="8" t="s">
        <v>1790</v>
      </c>
      <c r="E504" s="8" t="s">
        <v>34</v>
      </c>
      <c r="F504" s="8" t="s">
        <v>69</v>
      </c>
      <c r="G504" s="8" t="s">
        <v>26</v>
      </c>
      <c r="H504" s="8" t="s">
        <v>114</v>
      </c>
      <c r="I504" s="8" t="s">
        <v>96</v>
      </c>
      <c r="J504" s="8" t="s">
        <v>39</v>
      </c>
      <c r="K504" s="8" t="n">
        <v>3</v>
      </c>
      <c r="L504" s="8" t="n">
        <v>1171.47</v>
      </c>
      <c r="M504" s="8" t="n">
        <v>0.05</v>
      </c>
      <c r="N504" s="8" t="n">
        <v>3338.69</v>
      </c>
      <c r="O504" s="8" t="n">
        <v>-133.74</v>
      </c>
    </row>
    <row r="505" customFormat="false" ht="15" hidden="false" customHeight="true" outlineLevel="0" collapsed="false">
      <c r="A505" s="8" t="s">
        <v>1791</v>
      </c>
      <c r="B505" s="8" t="s">
        <v>1792</v>
      </c>
      <c r="C505" s="8" t="s">
        <v>1793</v>
      </c>
      <c r="D505" s="8" t="s">
        <v>1794</v>
      </c>
      <c r="E505" s="8" t="s">
        <v>52</v>
      </c>
      <c r="F505" s="8" t="s">
        <v>147</v>
      </c>
      <c r="G505" s="8" t="s">
        <v>54</v>
      </c>
      <c r="H505" s="8" t="s">
        <v>37</v>
      </c>
      <c r="I505" s="8" t="s">
        <v>143</v>
      </c>
      <c r="J505" s="8" t="s">
        <v>64</v>
      </c>
      <c r="K505" s="8" t="n">
        <v>1</v>
      </c>
      <c r="L505" s="8" t="n">
        <v>758.34</v>
      </c>
      <c r="M505" s="8"/>
      <c r="N505" s="8" t="n">
        <v>758.34</v>
      </c>
      <c r="O505" s="8" t="n">
        <v>90.53</v>
      </c>
    </row>
    <row r="506" customFormat="false" ht="15" hidden="false" customHeight="true" outlineLevel="0" collapsed="false">
      <c r="A506" s="8" t="s">
        <v>1795</v>
      </c>
      <c r="B506" s="8" t="s">
        <v>1796</v>
      </c>
      <c r="C506" s="8" t="s">
        <v>1005</v>
      </c>
      <c r="D506" s="8" t="s">
        <v>292</v>
      </c>
      <c r="E506" s="8" t="s">
        <v>52</v>
      </c>
      <c r="F506" s="8" t="s">
        <v>229</v>
      </c>
      <c r="G506" s="8" t="s">
        <v>102</v>
      </c>
      <c r="H506" s="8" t="s">
        <v>45</v>
      </c>
      <c r="I506" s="8" t="s">
        <v>28</v>
      </c>
      <c r="J506" s="8" t="s">
        <v>64</v>
      </c>
      <c r="K506" s="8" t="n">
        <v>2</v>
      </c>
      <c r="L506" s="8" t="n">
        <v>266.45</v>
      </c>
      <c r="M506" s="8" t="n">
        <v>0.1</v>
      </c>
      <c r="N506" s="8" t="n">
        <v>479.61</v>
      </c>
      <c r="O506" s="8" t="n">
        <v>-12.52</v>
      </c>
    </row>
    <row r="507" customFormat="false" ht="15" hidden="false" customHeight="true" outlineLevel="0" collapsed="false">
      <c r="A507" s="8" t="s">
        <v>1797</v>
      </c>
      <c r="B507" s="8" t="s">
        <v>1798</v>
      </c>
      <c r="C507" s="8" t="s">
        <v>1799</v>
      </c>
      <c r="D507" s="8" t="s">
        <v>633</v>
      </c>
      <c r="E507" s="8"/>
      <c r="F507" s="8" t="s">
        <v>372</v>
      </c>
      <c r="G507" s="8" t="s">
        <v>326</v>
      </c>
      <c r="H507" s="8" t="s">
        <v>245</v>
      </c>
      <c r="I507" s="8" t="s">
        <v>96</v>
      </c>
      <c r="J507" s="8" t="s">
        <v>29</v>
      </c>
      <c r="K507" s="8" t="n">
        <v>3</v>
      </c>
      <c r="L507" s="8" t="n">
        <v>985.78</v>
      </c>
      <c r="M507" s="8" t="n">
        <v>0</v>
      </c>
      <c r="N507" s="8" t="n">
        <v>2957.34</v>
      </c>
      <c r="O507" s="8" t="n">
        <v>767.81</v>
      </c>
    </row>
    <row r="508" customFormat="false" ht="15" hidden="false" customHeight="true" outlineLevel="0" collapsed="false">
      <c r="A508" s="8" t="s">
        <v>1800</v>
      </c>
      <c r="B508" s="8" t="s">
        <v>247</v>
      </c>
      <c r="C508" s="8" t="s">
        <v>1801</v>
      </c>
      <c r="D508" s="8" t="s">
        <v>681</v>
      </c>
      <c r="E508" s="8" t="s">
        <v>52</v>
      </c>
      <c r="F508" s="8" t="s">
        <v>173</v>
      </c>
      <c r="G508" s="8" t="s">
        <v>102</v>
      </c>
      <c r="H508" s="8" t="s">
        <v>148</v>
      </c>
      <c r="I508" s="8" t="s">
        <v>149</v>
      </c>
      <c r="J508" s="8" t="s">
        <v>29</v>
      </c>
      <c r="K508" s="8" t="n">
        <v>4</v>
      </c>
      <c r="L508" s="8" t="n">
        <v>1077.98</v>
      </c>
      <c r="M508" s="8"/>
      <c r="N508" s="8" t="n">
        <v>4311.92</v>
      </c>
      <c r="O508" s="8" t="n">
        <v>-373.1</v>
      </c>
    </row>
    <row r="509" customFormat="false" ht="15" hidden="false" customHeight="true" outlineLevel="0" collapsed="false">
      <c r="A509" s="8" t="s">
        <v>1802</v>
      </c>
      <c r="B509" s="8" t="s">
        <v>1331</v>
      </c>
      <c r="C509" s="8" t="s">
        <v>1803</v>
      </c>
      <c r="D509" s="8" t="s">
        <v>68</v>
      </c>
      <c r="E509" s="8" t="s">
        <v>24</v>
      </c>
      <c r="F509" s="8" t="s">
        <v>173</v>
      </c>
      <c r="G509" s="8" t="s">
        <v>119</v>
      </c>
      <c r="H509" s="8" t="s">
        <v>37</v>
      </c>
      <c r="I509" s="8" t="s">
        <v>404</v>
      </c>
      <c r="J509" s="8" t="s">
        <v>47</v>
      </c>
      <c r="K509" s="8" t="n">
        <v>4</v>
      </c>
      <c r="L509" s="8" t="n">
        <v>62.7</v>
      </c>
      <c r="M509" s="8" t="n">
        <v>0.2</v>
      </c>
      <c r="N509" s="8" t="n">
        <v>200.64</v>
      </c>
      <c r="O509" s="8" t="n">
        <v>-16.28</v>
      </c>
    </row>
    <row r="510" customFormat="false" ht="15" hidden="false" customHeight="true" outlineLevel="0" collapsed="false">
      <c r="A510" s="8" t="s">
        <v>1804</v>
      </c>
      <c r="B510" s="8" t="s">
        <v>1805</v>
      </c>
      <c r="C510" s="8" t="s">
        <v>1806</v>
      </c>
      <c r="D510" s="8" t="s">
        <v>1700</v>
      </c>
      <c r="E510" s="8" t="s">
        <v>24</v>
      </c>
      <c r="F510" s="8" t="s">
        <v>173</v>
      </c>
      <c r="G510" s="8" t="s">
        <v>119</v>
      </c>
      <c r="H510" s="8" t="s">
        <v>206</v>
      </c>
      <c r="I510" s="8" t="s">
        <v>143</v>
      </c>
      <c r="J510" s="8" t="s">
        <v>39</v>
      </c>
      <c r="K510" s="8" t="n">
        <v>4</v>
      </c>
      <c r="L510" s="8" t="n">
        <v>749.76</v>
      </c>
      <c r="M510" s="8" t="n">
        <v>0.1</v>
      </c>
      <c r="N510" s="8" t="n">
        <v>2699.14</v>
      </c>
      <c r="O510" s="8" t="n">
        <v>-71.62</v>
      </c>
    </row>
    <row r="511" customFormat="false" ht="15" hidden="false" customHeight="true" outlineLevel="0" collapsed="false">
      <c r="A511" s="8" t="s">
        <v>1807</v>
      </c>
      <c r="B511" s="8" t="s">
        <v>1808</v>
      </c>
      <c r="C511" s="8" t="s">
        <v>594</v>
      </c>
      <c r="D511" s="8" t="s">
        <v>1809</v>
      </c>
      <c r="E511" s="8" t="s">
        <v>34</v>
      </c>
      <c r="F511" s="8" t="s">
        <v>200</v>
      </c>
      <c r="G511" s="8" t="s">
        <v>26</v>
      </c>
      <c r="H511" s="8" t="s">
        <v>155</v>
      </c>
      <c r="I511" s="8" t="s">
        <v>28</v>
      </c>
      <c r="J511" s="8" t="s">
        <v>64</v>
      </c>
      <c r="K511" s="8" t="n">
        <v>2</v>
      </c>
      <c r="L511" s="8" t="n">
        <v>300.25</v>
      </c>
      <c r="M511" s="8"/>
      <c r="N511" s="8" t="n">
        <v>600.5</v>
      </c>
      <c r="O511" s="8" t="n">
        <v>150.9</v>
      </c>
    </row>
    <row r="512" customFormat="false" ht="15" hidden="false" customHeight="true" outlineLevel="0" collapsed="false">
      <c r="A512" s="8" t="s">
        <v>1810</v>
      </c>
      <c r="B512" s="8" t="s">
        <v>1811</v>
      </c>
      <c r="C512" s="8" t="s">
        <v>1812</v>
      </c>
      <c r="D512" s="8" t="s">
        <v>1813</v>
      </c>
      <c r="E512" s="8" t="s">
        <v>24</v>
      </c>
      <c r="F512" s="8" t="s">
        <v>101</v>
      </c>
      <c r="G512" s="8" t="s">
        <v>119</v>
      </c>
      <c r="H512" s="8" t="s">
        <v>70</v>
      </c>
      <c r="I512" s="8" t="s">
        <v>425</v>
      </c>
      <c r="J512" s="8" t="s">
        <v>64</v>
      </c>
      <c r="K512" s="8" t="n">
        <v>2</v>
      </c>
      <c r="L512" s="8" t="n">
        <v>302.05</v>
      </c>
      <c r="M512" s="8" t="n">
        <v>0.1</v>
      </c>
      <c r="N512" s="8" t="n">
        <v>543.69</v>
      </c>
      <c r="O512" s="8"/>
    </row>
    <row r="513" customFormat="false" ht="15" hidden="false" customHeight="true" outlineLevel="0" collapsed="false">
      <c r="A513" s="8" t="s">
        <v>1814</v>
      </c>
      <c r="B513" s="8" t="s">
        <v>557</v>
      </c>
      <c r="C513" s="8" t="s">
        <v>738</v>
      </c>
      <c r="D513" s="8" t="s">
        <v>1815</v>
      </c>
      <c r="E513" s="8" t="s">
        <v>34</v>
      </c>
      <c r="F513" s="8" t="s">
        <v>200</v>
      </c>
      <c r="G513" s="8" t="s">
        <v>82</v>
      </c>
      <c r="H513" s="8" t="s">
        <v>245</v>
      </c>
      <c r="I513" s="8" t="s">
        <v>96</v>
      </c>
      <c r="J513" s="8" t="s">
        <v>64</v>
      </c>
      <c r="K513" s="8" t="n">
        <v>1</v>
      </c>
      <c r="L513" s="8" t="n">
        <v>792.48</v>
      </c>
      <c r="M513" s="8" t="n">
        <v>0.1</v>
      </c>
      <c r="N513" s="8" t="n">
        <v>713.23</v>
      </c>
      <c r="O513" s="8" t="n">
        <v>57.9</v>
      </c>
    </row>
    <row r="514" customFormat="false" ht="15" hidden="false" customHeight="true" outlineLevel="0" collapsed="false">
      <c r="A514" s="8" t="s">
        <v>1816</v>
      </c>
      <c r="B514" s="8" t="s">
        <v>1817</v>
      </c>
      <c r="C514" s="8"/>
      <c r="D514" s="8" t="s">
        <v>1818</v>
      </c>
      <c r="E514" s="8" t="s">
        <v>24</v>
      </c>
      <c r="F514" s="8" t="s">
        <v>372</v>
      </c>
      <c r="G514" s="8" t="s">
        <v>54</v>
      </c>
      <c r="H514" s="8" t="s">
        <v>155</v>
      </c>
      <c r="I514" s="8" t="s">
        <v>28</v>
      </c>
      <c r="J514" s="8" t="s">
        <v>47</v>
      </c>
      <c r="K514" s="8" t="n">
        <v>1</v>
      </c>
      <c r="L514" s="8" t="n">
        <v>1086.21</v>
      </c>
      <c r="M514" s="8"/>
      <c r="N514" s="8" t="n">
        <v>1086.21</v>
      </c>
      <c r="O514" s="8" t="n">
        <v>307.95</v>
      </c>
    </row>
    <row r="515" customFormat="false" ht="15" hidden="false" customHeight="true" outlineLevel="0" collapsed="false">
      <c r="A515" s="8" t="s">
        <v>1819</v>
      </c>
      <c r="B515" s="8" t="s">
        <v>567</v>
      </c>
      <c r="C515" s="8" t="s">
        <v>1820</v>
      </c>
      <c r="D515" s="8" t="s">
        <v>1821</v>
      </c>
      <c r="E515" s="8" t="s">
        <v>52</v>
      </c>
      <c r="F515" s="8" t="s">
        <v>53</v>
      </c>
      <c r="G515" s="8" t="s">
        <v>54</v>
      </c>
      <c r="H515" s="8" t="s">
        <v>77</v>
      </c>
      <c r="I515" s="8" t="s">
        <v>127</v>
      </c>
      <c r="J515" s="8" t="s">
        <v>64</v>
      </c>
      <c r="K515" s="8" t="n">
        <v>1</v>
      </c>
      <c r="L515" s="8" t="n">
        <v>150.25</v>
      </c>
      <c r="M515" s="8" t="n">
        <v>0.15</v>
      </c>
      <c r="N515" s="8" t="n">
        <v>127.71</v>
      </c>
      <c r="O515" s="8"/>
    </row>
    <row r="516" customFormat="false" ht="15" hidden="false" customHeight="true" outlineLevel="0" collapsed="false">
      <c r="A516" s="8" t="s">
        <v>1822</v>
      </c>
      <c r="B516" s="8" t="s">
        <v>1644</v>
      </c>
      <c r="C516" s="8" t="s">
        <v>1823</v>
      </c>
      <c r="D516" s="8" t="s">
        <v>1824</v>
      </c>
      <c r="E516" s="8"/>
      <c r="F516" s="8" t="s">
        <v>101</v>
      </c>
      <c r="G516" s="8" t="s">
        <v>182</v>
      </c>
      <c r="H516" s="8" t="s">
        <v>206</v>
      </c>
      <c r="I516" s="8" t="s">
        <v>143</v>
      </c>
      <c r="J516" s="8" t="s">
        <v>47</v>
      </c>
      <c r="K516" s="8"/>
      <c r="L516" s="8" t="n">
        <v>795.95</v>
      </c>
      <c r="M516" s="8" t="n">
        <v>0.15</v>
      </c>
      <c r="N516" s="8" t="n">
        <v>676.56</v>
      </c>
      <c r="O516" s="8" t="n">
        <v>63.52</v>
      </c>
    </row>
    <row r="517" customFormat="false" ht="15" hidden="false" customHeight="true" outlineLevel="0" collapsed="false">
      <c r="A517" s="8" t="s">
        <v>1825</v>
      </c>
      <c r="B517" s="8" t="s">
        <v>1826</v>
      </c>
      <c r="C517" s="8" t="s">
        <v>1827</v>
      </c>
      <c r="D517" s="8" t="s">
        <v>1828</v>
      </c>
      <c r="E517" s="8"/>
      <c r="F517" s="8" t="s">
        <v>173</v>
      </c>
      <c r="G517" s="8" t="s">
        <v>102</v>
      </c>
      <c r="H517" s="8" t="s">
        <v>132</v>
      </c>
      <c r="I517" s="8" t="s">
        <v>133</v>
      </c>
      <c r="J517" s="8" t="s">
        <v>29</v>
      </c>
      <c r="K517" s="8" t="n">
        <v>2</v>
      </c>
      <c r="L517" s="8" t="n">
        <v>1002.76</v>
      </c>
      <c r="M517" s="8" t="n">
        <v>0.2</v>
      </c>
      <c r="N517" s="8" t="n">
        <v>1604.42</v>
      </c>
      <c r="O517" s="8" t="n">
        <v>59.1</v>
      </c>
    </row>
    <row r="518" customFormat="false" ht="15" hidden="false" customHeight="true" outlineLevel="0" collapsed="false">
      <c r="A518" s="8" t="s">
        <v>1829</v>
      </c>
      <c r="B518" s="8" t="s">
        <v>1830</v>
      </c>
      <c r="C518" s="8" t="s">
        <v>545</v>
      </c>
      <c r="D518" s="8" t="s">
        <v>1192</v>
      </c>
      <c r="E518" s="8" t="s">
        <v>24</v>
      </c>
      <c r="F518" s="8" t="s">
        <v>69</v>
      </c>
      <c r="G518" s="8" t="s">
        <v>82</v>
      </c>
      <c r="H518" s="8" t="s">
        <v>148</v>
      </c>
      <c r="I518" s="8" t="s">
        <v>46</v>
      </c>
      <c r="J518" s="8" t="s">
        <v>64</v>
      </c>
      <c r="K518" s="8" t="n">
        <v>3</v>
      </c>
      <c r="L518" s="8" t="n">
        <v>98.74</v>
      </c>
      <c r="M518" s="8" t="n">
        <v>0.05</v>
      </c>
      <c r="N518" s="8" t="n">
        <v>281.41</v>
      </c>
      <c r="O518" s="8" t="n">
        <v>95.7</v>
      </c>
    </row>
    <row r="519" customFormat="false" ht="15" hidden="false" customHeight="true" outlineLevel="0" collapsed="false">
      <c r="A519" s="8" t="s">
        <v>1831</v>
      </c>
      <c r="B519" s="8" t="s">
        <v>1832</v>
      </c>
      <c r="C519" s="8" t="s">
        <v>1833</v>
      </c>
      <c r="D519" s="8" t="s">
        <v>1834</v>
      </c>
      <c r="E519" s="8"/>
      <c r="F519" s="8" t="s">
        <v>101</v>
      </c>
      <c r="G519" s="8" t="s">
        <v>182</v>
      </c>
      <c r="H519" s="8" t="s">
        <v>45</v>
      </c>
      <c r="I519" s="8" t="s">
        <v>160</v>
      </c>
      <c r="J519" s="8" t="s">
        <v>64</v>
      </c>
      <c r="K519" s="8" t="n">
        <v>1</v>
      </c>
      <c r="L519" s="8" t="n">
        <v>509.36</v>
      </c>
      <c r="M519" s="8" t="n">
        <v>0.05</v>
      </c>
      <c r="N519" s="8" t="n">
        <v>483.89</v>
      </c>
      <c r="O519" s="8" t="n">
        <v>102.38</v>
      </c>
    </row>
    <row r="520" customFormat="false" ht="15" hidden="false" customHeight="true" outlineLevel="0" collapsed="false">
      <c r="A520" s="8" t="s">
        <v>1835</v>
      </c>
      <c r="B520" s="8" t="s">
        <v>1836</v>
      </c>
      <c r="C520" s="8" t="s">
        <v>823</v>
      </c>
      <c r="D520" s="8" t="s">
        <v>1338</v>
      </c>
      <c r="E520" s="8" t="s">
        <v>34</v>
      </c>
      <c r="F520" s="8" t="s">
        <v>147</v>
      </c>
      <c r="G520" s="8" t="s">
        <v>54</v>
      </c>
      <c r="H520" s="8" t="s">
        <v>155</v>
      </c>
      <c r="I520" s="8" t="s">
        <v>138</v>
      </c>
      <c r="J520" s="8" t="s">
        <v>39</v>
      </c>
      <c r="K520" s="8" t="n">
        <v>4</v>
      </c>
      <c r="L520" s="8" t="n">
        <v>80.55</v>
      </c>
      <c r="M520" s="8" t="n">
        <v>0.1</v>
      </c>
      <c r="N520" s="8" t="n">
        <v>289.98</v>
      </c>
      <c r="O520" s="8" t="n">
        <v>-15.95</v>
      </c>
    </row>
    <row r="521" customFormat="false" ht="15" hidden="false" customHeight="true" outlineLevel="0" collapsed="false">
      <c r="A521" s="8" t="s">
        <v>1837</v>
      </c>
      <c r="B521" s="8" t="s">
        <v>188</v>
      </c>
      <c r="C521" s="8" t="s">
        <v>1022</v>
      </c>
      <c r="D521" s="8" t="s">
        <v>1035</v>
      </c>
      <c r="E521" s="8" t="s">
        <v>34</v>
      </c>
      <c r="F521" s="8" t="s">
        <v>173</v>
      </c>
      <c r="G521" s="8" t="s">
        <v>119</v>
      </c>
      <c r="H521" s="8" t="s">
        <v>359</v>
      </c>
      <c r="I521" s="8" t="s">
        <v>241</v>
      </c>
      <c r="J521" s="8" t="s">
        <v>64</v>
      </c>
      <c r="K521" s="8" t="n">
        <v>5</v>
      </c>
      <c r="L521" s="8" t="n">
        <v>1051.75</v>
      </c>
      <c r="M521" s="8" t="n">
        <v>0</v>
      </c>
      <c r="N521" s="8" t="n">
        <v>5258.75</v>
      </c>
      <c r="O521" s="8" t="n">
        <v>701.41</v>
      </c>
    </row>
    <row r="522" customFormat="false" ht="15" hidden="false" customHeight="true" outlineLevel="0" collapsed="false">
      <c r="A522" s="8" t="s">
        <v>1838</v>
      </c>
      <c r="B522" s="8" t="s">
        <v>889</v>
      </c>
      <c r="C522" s="8" t="s">
        <v>323</v>
      </c>
      <c r="D522" s="8" t="s">
        <v>1839</v>
      </c>
      <c r="E522" s="8" t="s">
        <v>52</v>
      </c>
      <c r="F522" s="8" t="s">
        <v>200</v>
      </c>
      <c r="G522" s="8" t="s">
        <v>82</v>
      </c>
      <c r="H522" s="8" t="s">
        <v>55</v>
      </c>
      <c r="I522" s="8" t="s">
        <v>56</v>
      </c>
      <c r="J522" s="8" t="s">
        <v>47</v>
      </c>
      <c r="K522" s="8" t="n">
        <v>2</v>
      </c>
      <c r="L522" s="8" t="n">
        <v>720.51</v>
      </c>
      <c r="M522" s="8" t="n">
        <v>0.2</v>
      </c>
      <c r="N522" s="8"/>
      <c r="O522" s="8" t="n">
        <v>372.5</v>
      </c>
    </row>
    <row r="523" customFormat="false" ht="15" hidden="false" customHeight="true" outlineLevel="0" collapsed="false">
      <c r="A523" s="8" t="s">
        <v>1840</v>
      </c>
      <c r="B523" s="8" t="s">
        <v>1841</v>
      </c>
      <c r="C523" s="8" t="s">
        <v>1842</v>
      </c>
      <c r="D523" s="8" t="s">
        <v>1843</v>
      </c>
      <c r="E523" s="8"/>
      <c r="F523" s="8" t="s">
        <v>372</v>
      </c>
      <c r="G523" s="8" t="s">
        <v>326</v>
      </c>
      <c r="H523" s="8" t="s">
        <v>95</v>
      </c>
      <c r="I523" s="8" t="s">
        <v>201</v>
      </c>
      <c r="J523" s="8" t="s">
        <v>47</v>
      </c>
      <c r="K523" s="8" t="n">
        <v>1</v>
      </c>
      <c r="L523" s="8" t="n">
        <v>125.96</v>
      </c>
      <c r="M523" s="8" t="n">
        <v>0.05</v>
      </c>
      <c r="N523" s="8" t="n">
        <v>119.66</v>
      </c>
      <c r="O523" s="8" t="n">
        <v>-6.28</v>
      </c>
    </row>
    <row r="524" customFormat="false" ht="15" hidden="false" customHeight="true" outlineLevel="0" collapsed="false">
      <c r="A524" s="8" t="s">
        <v>1844</v>
      </c>
      <c r="B524" s="8" t="s">
        <v>1845</v>
      </c>
      <c r="C524" s="8" t="s">
        <v>1846</v>
      </c>
      <c r="D524" s="8" t="s">
        <v>1847</v>
      </c>
      <c r="E524" s="8"/>
      <c r="F524" s="8" t="s">
        <v>35</v>
      </c>
      <c r="G524" s="8" t="s">
        <v>76</v>
      </c>
      <c r="H524" s="8" t="s">
        <v>191</v>
      </c>
      <c r="I524" s="8" t="s">
        <v>121</v>
      </c>
      <c r="J524" s="8" t="s">
        <v>64</v>
      </c>
      <c r="K524" s="8"/>
      <c r="L524" s="8" t="n">
        <v>764.36</v>
      </c>
      <c r="M524" s="8"/>
      <c r="N524" s="8" t="n">
        <v>764.36</v>
      </c>
      <c r="O524" s="8" t="n">
        <v>138.39</v>
      </c>
    </row>
    <row r="525" customFormat="false" ht="15" hidden="false" customHeight="true" outlineLevel="0" collapsed="false">
      <c r="A525" s="8" t="s">
        <v>1848</v>
      </c>
      <c r="B525" s="8" t="s">
        <v>1849</v>
      </c>
      <c r="C525" s="8" t="s">
        <v>1850</v>
      </c>
      <c r="D525" s="8" t="s">
        <v>1851</v>
      </c>
      <c r="E525" s="8" t="s">
        <v>34</v>
      </c>
      <c r="F525" s="8" t="s">
        <v>69</v>
      </c>
      <c r="G525" s="8" t="s">
        <v>89</v>
      </c>
      <c r="H525" s="8" t="s">
        <v>206</v>
      </c>
      <c r="I525" s="8" t="s">
        <v>38</v>
      </c>
      <c r="J525" s="8" t="s">
        <v>39</v>
      </c>
      <c r="K525" s="8" t="n">
        <v>2</v>
      </c>
      <c r="L525" s="8" t="n">
        <v>262.3</v>
      </c>
      <c r="M525" s="8"/>
      <c r="N525" s="8" t="n">
        <v>524.6</v>
      </c>
      <c r="O525" s="8" t="n">
        <v>56</v>
      </c>
    </row>
    <row r="526" customFormat="false" ht="15" hidden="false" customHeight="true" outlineLevel="0" collapsed="false">
      <c r="A526" s="8" t="s">
        <v>1852</v>
      </c>
      <c r="B526" s="8" t="s">
        <v>1853</v>
      </c>
      <c r="C526" s="8" t="s">
        <v>1854</v>
      </c>
      <c r="D526" s="8" t="s">
        <v>1855</v>
      </c>
      <c r="E526" s="8" t="s">
        <v>52</v>
      </c>
      <c r="F526" s="8" t="s">
        <v>173</v>
      </c>
      <c r="G526" s="8" t="s">
        <v>102</v>
      </c>
      <c r="H526" s="8" t="s">
        <v>155</v>
      </c>
      <c r="I526" s="8" t="s">
        <v>160</v>
      </c>
      <c r="J526" s="8" t="s">
        <v>47</v>
      </c>
      <c r="K526" s="8" t="n">
        <v>5</v>
      </c>
      <c r="L526" s="8" t="n">
        <v>1054.67</v>
      </c>
      <c r="M526" s="8" t="n">
        <v>0</v>
      </c>
      <c r="N526" s="8" t="n">
        <v>5273.35</v>
      </c>
      <c r="O526" s="8" t="n">
        <v>895.4</v>
      </c>
    </row>
    <row r="527" customFormat="false" ht="15" hidden="false" customHeight="true" outlineLevel="0" collapsed="false">
      <c r="A527" s="8" t="s">
        <v>1856</v>
      </c>
      <c r="B527" s="8" t="s">
        <v>21</v>
      </c>
      <c r="C527" s="8" t="s">
        <v>462</v>
      </c>
      <c r="D527" s="8" t="s">
        <v>1206</v>
      </c>
      <c r="E527" s="8" t="s">
        <v>24</v>
      </c>
      <c r="F527" s="8" t="s">
        <v>126</v>
      </c>
      <c r="G527" s="8" t="s">
        <v>89</v>
      </c>
      <c r="H527" s="8" t="s">
        <v>55</v>
      </c>
      <c r="I527" s="8" t="s">
        <v>56</v>
      </c>
      <c r="J527" s="8" t="s">
        <v>29</v>
      </c>
      <c r="K527" s="8" t="n">
        <v>1</v>
      </c>
      <c r="L527" s="8" t="n">
        <v>373.16</v>
      </c>
      <c r="M527" s="8" t="n">
        <v>0.15</v>
      </c>
      <c r="N527" s="8" t="n">
        <v>317.19</v>
      </c>
      <c r="O527" s="8" t="n">
        <v>43.42</v>
      </c>
    </row>
    <row r="528" customFormat="false" ht="15" hidden="false" customHeight="true" outlineLevel="0" collapsed="false">
      <c r="A528" s="8" t="s">
        <v>1857</v>
      </c>
      <c r="B528" s="8" t="s">
        <v>1858</v>
      </c>
      <c r="C528" s="8" t="s">
        <v>1432</v>
      </c>
      <c r="D528" s="8" t="s">
        <v>653</v>
      </c>
      <c r="E528" s="8" t="s">
        <v>24</v>
      </c>
      <c r="F528" s="8" t="s">
        <v>94</v>
      </c>
      <c r="G528" s="8" t="s">
        <v>326</v>
      </c>
      <c r="H528" s="8" t="s">
        <v>114</v>
      </c>
      <c r="I528" s="8" t="s">
        <v>297</v>
      </c>
      <c r="J528" s="8" t="s">
        <v>47</v>
      </c>
      <c r="K528" s="8" t="n">
        <v>1</v>
      </c>
      <c r="L528" s="8" t="n">
        <v>100.8</v>
      </c>
      <c r="M528" s="8" t="n">
        <v>0.05</v>
      </c>
      <c r="N528" s="8" t="n">
        <v>95.76</v>
      </c>
      <c r="O528" s="8" t="n">
        <v>31.45</v>
      </c>
    </row>
    <row r="529" customFormat="false" ht="15" hidden="false" customHeight="true" outlineLevel="0" collapsed="false">
      <c r="A529" s="8" t="s">
        <v>1859</v>
      </c>
      <c r="B529" s="8" t="s">
        <v>1287</v>
      </c>
      <c r="C529" s="8" t="s">
        <v>549</v>
      </c>
      <c r="D529" s="8" t="s">
        <v>1051</v>
      </c>
      <c r="E529" s="8"/>
      <c r="F529" s="8" t="s">
        <v>173</v>
      </c>
      <c r="G529" s="8" t="s">
        <v>102</v>
      </c>
      <c r="H529" s="8" t="s">
        <v>103</v>
      </c>
      <c r="I529" s="8" t="s">
        <v>56</v>
      </c>
      <c r="J529" s="8" t="s">
        <v>47</v>
      </c>
      <c r="K529" s="8" t="n">
        <v>2</v>
      </c>
      <c r="L529" s="8" t="n">
        <v>479.13</v>
      </c>
      <c r="M529" s="8" t="n">
        <v>0</v>
      </c>
      <c r="N529" s="8" t="n">
        <v>958.26</v>
      </c>
      <c r="O529" s="8" t="n">
        <v>332.24</v>
      </c>
    </row>
    <row r="530" customFormat="false" ht="15" hidden="false" customHeight="true" outlineLevel="0" collapsed="false">
      <c r="A530" s="8" t="s">
        <v>1860</v>
      </c>
      <c r="B530" s="8" t="s">
        <v>1861</v>
      </c>
      <c r="C530" s="8" t="s">
        <v>1862</v>
      </c>
      <c r="D530" s="8" t="s">
        <v>1863</v>
      </c>
      <c r="E530" s="8" t="s">
        <v>52</v>
      </c>
      <c r="F530" s="8" t="s">
        <v>229</v>
      </c>
      <c r="G530" s="8" t="s">
        <v>119</v>
      </c>
      <c r="H530" s="8" t="s">
        <v>206</v>
      </c>
      <c r="I530" s="8" t="s">
        <v>143</v>
      </c>
      <c r="J530" s="8" t="s">
        <v>64</v>
      </c>
      <c r="K530" s="8" t="n">
        <v>5</v>
      </c>
      <c r="L530" s="8" t="n">
        <v>359.31</v>
      </c>
      <c r="M530" s="8" t="n">
        <v>0.2</v>
      </c>
      <c r="N530" s="8" t="n">
        <v>1437.24</v>
      </c>
      <c r="O530" s="8" t="n">
        <v>453.27</v>
      </c>
    </row>
    <row r="531" customFormat="false" ht="15" hidden="false" customHeight="true" outlineLevel="0" collapsed="false">
      <c r="A531" s="8" t="s">
        <v>1864</v>
      </c>
      <c r="B531" s="8" t="s">
        <v>1865</v>
      </c>
      <c r="C531" s="8" t="s">
        <v>1866</v>
      </c>
      <c r="D531" s="8" t="s">
        <v>1867</v>
      </c>
      <c r="E531" s="8"/>
      <c r="F531" s="8" t="s">
        <v>154</v>
      </c>
      <c r="G531" s="8" t="s">
        <v>102</v>
      </c>
      <c r="H531" s="8" t="s">
        <v>114</v>
      </c>
      <c r="I531" s="8" t="s">
        <v>115</v>
      </c>
      <c r="J531" s="8" t="s">
        <v>39</v>
      </c>
      <c r="K531" s="8" t="n">
        <v>2</v>
      </c>
      <c r="L531" s="8" t="n">
        <v>458.91</v>
      </c>
      <c r="M531" s="8"/>
      <c r="N531" s="8" t="n">
        <v>917.82</v>
      </c>
      <c r="O531" s="8" t="n">
        <v>-22.3</v>
      </c>
    </row>
    <row r="532" customFormat="false" ht="15" hidden="false" customHeight="true" outlineLevel="0" collapsed="false">
      <c r="A532" s="8" t="s">
        <v>1868</v>
      </c>
      <c r="B532" s="8" t="s">
        <v>522</v>
      </c>
      <c r="C532" s="8" t="s">
        <v>1869</v>
      </c>
      <c r="D532" s="8" t="s">
        <v>935</v>
      </c>
      <c r="E532" s="8"/>
      <c r="F532" s="8" t="s">
        <v>25</v>
      </c>
      <c r="G532" s="8" t="s">
        <v>26</v>
      </c>
      <c r="H532" s="8" t="s">
        <v>114</v>
      </c>
      <c r="I532" s="8" t="s">
        <v>115</v>
      </c>
      <c r="J532" s="8" t="s">
        <v>39</v>
      </c>
      <c r="K532" s="8" t="n">
        <v>5</v>
      </c>
      <c r="L532" s="8" t="n">
        <v>791.79</v>
      </c>
      <c r="M532" s="8"/>
      <c r="N532" s="8" t="n">
        <v>3958.95</v>
      </c>
      <c r="O532" s="8" t="n">
        <v>-131.93</v>
      </c>
    </row>
    <row r="533" customFormat="false" ht="15" hidden="false" customHeight="true" outlineLevel="0" collapsed="false">
      <c r="A533" s="8" t="s">
        <v>1870</v>
      </c>
      <c r="B533" s="8" t="s">
        <v>787</v>
      </c>
      <c r="C533" s="8" t="s">
        <v>1871</v>
      </c>
      <c r="D533" s="8" t="s">
        <v>1872</v>
      </c>
      <c r="E533" s="8" t="s">
        <v>52</v>
      </c>
      <c r="F533" s="8" t="s">
        <v>229</v>
      </c>
      <c r="G533" s="8" t="s">
        <v>102</v>
      </c>
      <c r="H533" s="8" t="s">
        <v>245</v>
      </c>
      <c r="I533" s="8" t="s">
        <v>201</v>
      </c>
      <c r="J533" s="8" t="s">
        <v>47</v>
      </c>
      <c r="K533" s="8" t="n">
        <v>3</v>
      </c>
      <c r="L533" s="8" t="n">
        <v>814.93</v>
      </c>
      <c r="M533" s="8"/>
      <c r="N533" s="8" t="n">
        <v>2444.79</v>
      </c>
      <c r="O533" s="8" t="n">
        <v>-207.77</v>
      </c>
    </row>
    <row r="534" customFormat="false" ht="15" hidden="false" customHeight="true" outlineLevel="0" collapsed="false">
      <c r="A534" s="8" t="s">
        <v>928</v>
      </c>
      <c r="B534" s="8" t="s">
        <v>929</v>
      </c>
      <c r="C534" s="8" t="s">
        <v>930</v>
      </c>
      <c r="D534" s="8" t="s">
        <v>931</v>
      </c>
      <c r="E534" s="8"/>
      <c r="F534" s="8" t="s">
        <v>200</v>
      </c>
      <c r="G534" s="8" t="s">
        <v>82</v>
      </c>
      <c r="H534" s="8" t="s">
        <v>45</v>
      </c>
      <c r="I534" s="8" t="s">
        <v>138</v>
      </c>
      <c r="J534" s="8" t="s">
        <v>39</v>
      </c>
      <c r="K534" s="8" t="n">
        <v>5</v>
      </c>
      <c r="L534" s="8" t="n">
        <v>518.98</v>
      </c>
      <c r="M534" s="8" t="n">
        <v>0.05</v>
      </c>
      <c r="N534" s="8" t="n">
        <v>2465.15</v>
      </c>
      <c r="O534" s="8" t="n">
        <v>-134.85</v>
      </c>
    </row>
    <row r="535" customFormat="false" ht="15" hidden="false" customHeight="true" outlineLevel="0" collapsed="false">
      <c r="A535" s="8" t="s">
        <v>450</v>
      </c>
      <c r="B535" s="8" t="s">
        <v>193</v>
      </c>
      <c r="C535" s="8" t="s">
        <v>451</v>
      </c>
      <c r="D535" s="8" t="s">
        <v>452</v>
      </c>
      <c r="E535" s="8" t="s">
        <v>24</v>
      </c>
      <c r="F535" s="8" t="s">
        <v>69</v>
      </c>
      <c r="G535" s="8" t="s">
        <v>82</v>
      </c>
      <c r="H535" s="8" t="s">
        <v>359</v>
      </c>
      <c r="I535" s="8" t="s">
        <v>220</v>
      </c>
      <c r="J535" s="8" t="s">
        <v>64</v>
      </c>
      <c r="K535" s="8" t="n">
        <v>3</v>
      </c>
      <c r="L535" s="8" t="n">
        <v>770.51</v>
      </c>
      <c r="M535" s="8"/>
      <c r="N535" s="8" t="n">
        <v>2311.53</v>
      </c>
      <c r="O535" s="8" t="n">
        <v>606.65</v>
      </c>
    </row>
    <row r="536" customFormat="false" ht="15" hidden="false" customHeight="true" outlineLevel="0" collapsed="false">
      <c r="A536" s="8" t="s">
        <v>1873</v>
      </c>
      <c r="B536" s="8" t="s">
        <v>1874</v>
      </c>
      <c r="C536" s="8" t="s">
        <v>1875</v>
      </c>
      <c r="D536" s="8" t="s">
        <v>546</v>
      </c>
      <c r="E536" s="8" t="s">
        <v>52</v>
      </c>
      <c r="F536" s="8" t="s">
        <v>69</v>
      </c>
      <c r="G536" s="8" t="s">
        <v>82</v>
      </c>
      <c r="H536" s="8" t="s">
        <v>103</v>
      </c>
      <c r="I536" s="8" t="s">
        <v>241</v>
      </c>
      <c r="J536" s="8" t="s">
        <v>39</v>
      </c>
      <c r="K536" s="8" t="n">
        <v>3</v>
      </c>
      <c r="L536" s="8" t="n">
        <v>738.04</v>
      </c>
      <c r="M536" s="8" t="n">
        <v>0</v>
      </c>
      <c r="N536" s="8" t="n">
        <v>2214.12</v>
      </c>
      <c r="O536" s="8" t="n">
        <v>271.28</v>
      </c>
    </row>
    <row r="537" customFormat="false" ht="15" hidden="false" customHeight="true" outlineLevel="0" collapsed="false">
      <c r="A537" s="8" t="s">
        <v>1876</v>
      </c>
      <c r="B537" s="8" t="s">
        <v>1877</v>
      </c>
      <c r="C537" s="8" t="s">
        <v>517</v>
      </c>
      <c r="D537" s="8" t="s">
        <v>719</v>
      </c>
      <c r="E537" s="8" t="s">
        <v>34</v>
      </c>
      <c r="F537" s="8" t="s">
        <v>94</v>
      </c>
      <c r="G537" s="8" t="s">
        <v>326</v>
      </c>
      <c r="H537" s="8" t="s">
        <v>77</v>
      </c>
      <c r="I537" s="8" t="s">
        <v>78</v>
      </c>
      <c r="J537" s="8" t="s">
        <v>29</v>
      </c>
      <c r="K537" s="8" t="n">
        <v>5</v>
      </c>
      <c r="L537" s="8" t="n">
        <v>1127.17</v>
      </c>
      <c r="M537" s="8" t="n">
        <v>0.1</v>
      </c>
      <c r="N537" s="8" t="n">
        <v>5072.27</v>
      </c>
      <c r="O537" s="8" t="n">
        <v>331.22</v>
      </c>
    </row>
    <row r="538" customFormat="false" ht="15" hidden="false" customHeight="true" outlineLevel="0" collapsed="false">
      <c r="A538" s="8" t="s">
        <v>1878</v>
      </c>
      <c r="B538" s="8" t="s">
        <v>1585</v>
      </c>
      <c r="C538" s="8" t="s">
        <v>1879</v>
      </c>
      <c r="D538" s="8" t="s">
        <v>1880</v>
      </c>
      <c r="E538" s="8" t="s">
        <v>24</v>
      </c>
      <c r="F538" s="8" t="s">
        <v>61</v>
      </c>
      <c r="G538" s="8" t="s">
        <v>76</v>
      </c>
      <c r="H538" s="8" t="s">
        <v>55</v>
      </c>
      <c r="I538" s="8" t="s">
        <v>56</v>
      </c>
      <c r="J538" s="8" t="s">
        <v>29</v>
      </c>
      <c r="K538" s="8"/>
      <c r="L538" s="8" t="n">
        <v>401.71</v>
      </c>
      <c r="M538" s="8"/>
      <c r="N538" s="8" t="n">
        <v>401.71</v>
      </c>
      <c r="O538" s="8" t="n">
        <v>21.54</v>
      </c>
    </row>
    <row r="539" customFormat="false" ht="15" hidden="false" customHeight="true" outlineLevel="0" collapsed="false">
      <c r="A539" s="8" t="s">
        <v>1881</v>
      </c>
      <c r="B539" s="8" t="s">
        <v>780</v>
      </c>
      <c r="C539" s="8" t="s">
        <v>1882</v>
      </c>
      <c r="D539" s="8" t="s">
        <v>1309</v>
      </c>
      <c r="E539" s="8"/>
      <c r="F539" s="8" t="s">
        <v>101</v>
      </c>
      <c r="G539" s="8" t="s">
        <v>182</v>
      </c>
      <c r="H539" s="8" t="s">
        <v>83</v>
      </c>
      <c r="I539" s="8" t="s">
        <v>143</v>
      </c>
      <c r="J539" s="8" t="s">
        <v>64</v>
      </c>
      <c r="K539" s="8" t="n">
        <v>3</v>
      </c>
      <c r="L539" s="8" t="n">
        <v>608.04</v>
      </c>
      <c r="M539" s="8" t="n">
        <v>0.1</v>
      </c>
      <c r="N539" s="8" t="n">
        <v>1641.71</v>
      </c>
      <c r="O539" s="8" t="n">
        <v>399.84</v>
      </c>
    </row>
    <row r="540" customFormat="false" ht="15" hidden="false" customHeight="true" outlineLevel="0" collapsed="false">
      <c r="A540" s="8" t="s">
        <v>1883</v>
      </c>
      <c r="B540" s="8" t="s">
        <v>1884</v>
      </c>
      <c r="C540" s="8" t="s">
        <v>1885</v>
      </c>
      <c r="D540" s="8" t="s">
        <v>1266</v>
      </c>
      <c r="E540" s="8" t="s">
        <v>24</v>
      </c>
      <c r="F540" s="8" t="s">
        <v>147</v>
      </c>
      <c r="G540" s="8" t="s">
        <v>326</v>
      </c>
      <c r="H540" s="8" t="s">
        <v>142</v>
      </c>
      <c r="I540" s="8" t="s">
        <v>38</v>
      </c>
      <c r="J540" s="8" t="s">
        <v>64</v>
      </c>
      <c r="K540" s="8" t="n">
        <v>1</v>
      </c>
      <c r="L540" s="8" t="n">
        <v>1060.5</v>
      </c>
      <c r="M540" s="8" t="n">
        <v>0</v>
      </c>
      <c r="N540" s="8" t="n">
        <v>1060.5</v>
      </c>
      <c r="O540" s="8" t="n">
        <v>6.1</v>
      </c>
    </row>
    <row r="541" customFormat="false" ht="15" hidden="false" customHeight="true" outlineLevel="0" collapsed="false">
      <c r="A541" s="8" t="s">
        <v>1886</v>
      </c>
      <c r="B541" s="8" t="s">
        <v>1649</v>
      </c>
      <c r="C541" s="8"/>
      <c r="D541" s="8" t="s">
        <v>1847</v>
      </c>
      <c r="E541" s="8" t="s">
        <v>34</v>
      </c>
      <c r="F541" s="8" t="s">
        <v>44</v>
      </c>
      <c r="G541" s="8" t="s">
        <v>76</v>
      </c>
      <c r="H541" s="8" t="s">
        <v>83</v>
      </c>
      <c r="I541" s="8" t="s">
        <v>84</v>
      </c>
      <c r="J541" s="8" t="s">
        <v>64</v>
      </c>
      <c r="K541" s="8"/>
      <c r="L541" s="8" t="n">
        <v>53.43</v>
      </c>
      <c r="M541" s="8"/>
      <c r="N541" s="8" t="n">
        <v>53.43</v>
      </c>
      <c r="O541" s="8" t="n">
        <v>12.55</v>
      </c>
    </row>
    <row r="542" customFormat="false" ht="15" hidden="false" customHeight="true" outlineLevel="0" collapsed="false">
      <c r="A542" s="8" t="s">
        <v>1887</v>
      </c>
      <c r="B542" s="8" t="s">
        <v>1888</v>
      </c>
      <c r="C542" s="8" t="s">
        <v>458</v>
      </c>
      <c r="D542" s="8" t="s">
        <v>1889</v>
      </c>
      <c r="E542" s="8" t="s">
        <v>24</v>
      </c>
      <c r="F542" s="8" t="s">
        <v>69</v>
      </c>
      <c r="G542" s="8" t="s">
        <v>89</v>
      </c>
      <c r="H542" s="8" t="s">
        <v>132</v>
      </c>
      <c r="I542" s="8" t="s">
        <v>56</v>
      </c>
      <c r="J542" s="8" t="s">
        <v>64</v>
      </c>
      <c r="K542" s="8"/>
      <c r="L542" s="8" t="n">
        <v>412.88</v>
      </c>
      <c r="M542" s="8" t="n">
        <v>0.2</v>
      </c>
      <c r="N542" s="8" t="n">
        <v>330.3</v>
      </c>
      <c r="O542" s="8" t="n">
        <v>29.65</v>
      </c>
    </row>
    <row r="543" customFormat="false" ht="15" hidden="false" customHeight="true" outlineLevel="0" collapsed="false">
      <c r="A543" s="8" t="s">
        <v>1890</v>
      </c>
      <c r="B543" s="8" t="s">
        <v>1891</v>
      </c>
      <c r="C543" s="8" t="s">
        <v>1311</v>
      </c>
      <c r="D543" s="8" t="s">
        <v>1892</v>
      </c>
      <c r="E543" s="8" t="s">
        <v>52</v>
      </c>
      <c r="F543" s="8" t="s">
        <v>229</v>
      </c>
      <c r="G543" s="8" t="s">
        <v>182</v>
      </c>
      <c r="H543" s="8" t="s">
        <v>120</v>
      </c>
      <c r="I543" s="8" t="s">
        <v>121</v>
      </c>
      <c r="J543" s="8" t="s">
        <v>39</v>
      </c>
      <c r="K543" s="8"/>
      <c r="L543" s="8" t="n">
        <v>1071.01</v>
      </c>
      <c r="M543" s="8" t="n">
        <v>0.2</v>
      </c>
      <c r="N543" s="8" t="n">
        <v>856.81</v>
      </c>
      <c r="O543" s="8" t="n">
        <v>120.94</v>
      </c>
    </row>
    <row r="544" customFormat="false" ht="15" hidden="false" customHeight="true" outlineLevel="0" collapsed="false">
      <c r="A544" s="8" t="s">
        <v>1893</v>
      </c>
      <c r="B544" s="8" t="s">
        <v>1000</v>
      </c>
      <c r="C544" s="8" t="s">
        <v>1575</v>
      </c>
      <c r="D544" s="8" t="s">
        <v>519</v>
      </c>
      <c r="E544" s="8" t="s">
        <v>52</v>
      </c>
      <c r="F544" s="8" t="s">
        <v>69</v>
      </c>
      <c r="G544" s="8" t="s">
        <v>26</v>
      </c>
      <c r="H544" s="8" t="s">
        <v>77</v>
      </c>
      <c r="I544" s="8" t="s">
        <v>425</v>
      </c>
      <c r="J544" s="8" t="s">
        <v>64</v>
      </c>
      <c r="K544" s="8" t="n">
        <v>1</v>
      </c>
      <c r="L544" s="8" t="n">
        <v>767.48</v>
      </c>
      <c r="M544" s="8"/>
      <c r="N544" s="8" t="n">
        <v>767.48</v>
      </c>
      <c r="O544" s="8" t="n">
        <v>-48.05</v>
      </c>
    </row>
    <row r="545" customFormat="false" ht="15" hidden="false" customHeight="true" outlineLevel="0" collapsed="false">
      <c r="A545" s="8" t="s">
        <v>1894</v>
      </c>
      <c r="B545" s="8" t="s">
        <v>118</v>
      </c>
      <c r="C545" s="8" t="s">
        <v>1060</v>
      </c>
      <c r="D545" s="8" t="s">
        <v>1895</v>
      </c>
      <c r="E545" s="8" t="s">
        <v>52</v>
      </c>
      <c r="F545" s="8" t="s">
        <v>44</v>
      </c>
      <c r="G545" s="8" t="s">
        <v>36</v>
      </c>
      <c r="H545" s="8" t="s">
        <v>206</v>
      </c>
      <c r="I545" s="8" t="s">
        <v>404</v>
      </c>
      <c r="J545" s="8" t="s">
        <v>29</v>
      </c>
      <c r="K545" s="8" t="n">
        <v>4</v>
      </c>
      <c r="L545" s="8" t="n">
        <v>59.06</v>
      </c>
      <c r="M545" s="8" t="n">
        <v>0</v>
      </c>
      <c r="N545" s="8" t="n">
        <v>236.24</v>
      </c>
      <c r="O545" s="8" t="n">
        <v>48.71</v>
      </c>
    </row>
    <row r="546" customFormat="false" ht="15" hidden="false" customHeight="true" outlineLevel="0" collapsed="false">
      <c r="A546" s="8" t="s">
        <v>1896</v>
      </c>
      <c r="B546" s="8" t="s">
        <v>1897</v>
      </c>
      <c r="C546" s="8" t="s">
        <v>1898</v>
      </c>
      <c r="D546" s="8" t="s">
        <v>1892</v>
      </c>
      <c r="E546" s="8" t="s">
        <v>52</v>
      </c>
      <c r="F546" s="8" t="s">
        <v>147</v>
      </c>
      <c r="G546" s="8" t="s">
        <v>326</v>
      </c>
      <c r="H546" s="8" t="s">
        <v>27</v>
      </c>
      <c r="I546" s="8" t="s">
        <v>138</v>
      </c>
      <c r="J546" s="8" t="s">
        <v>29</v>
      </c>
      <c r="K546" s="8" t="n">
        <v>1</v>
      </c>
      <c r="L546" s="8" t="n">
        <v>270.05</v>
      </c>
      <c r="M546" s="8"/>
      <c r="N546" s="8" t="n">
        <v>270.05</v>
      </c>
      <c r="O546" s="8" t="n">
        <v>71.97</v>
      </c>
    </row>
    <row r="547" customFormat="false" ht="15" hidden="false" customHeight="true" outlineLevel="0" collapsed="false">
      <c r="A547" s="8" t="s">
        <v>1899</v>
      </c>
      <c r="B547" s="8" t="s">
        <v>1900</v>
      </c>
      <c r="C547" s="8"/>
      <c r="D547" s="8" t="s">
        <v>412</v>
      </c>
      <c r="E547" s="8" t="s">
        <v>24</v>
      </c>
      <c r="F547" s="8" t="s">
        <v>61</v>
      </c>
      <c r="G547" s="8" t="s">
        <v>36</v>
      </c>
      <c r="H547" s="8" t="s">
        <v>37</v>
      </c>
      <c r="I547" s="8" t="s">
        <v>38</v>
      </c>
      <c r="J547" s="8" t="s">
        <v>64</v>
      </c>
      <c r="K547" s="8" t="n">
        <v>1</v>
      </c>
      <c r="L547" s="8" t="n">
        <v>310.14</v>
      </c>
      <c r="M547" s="8" t="n">
        <v>0.2</v>
      </c>
      <c r="N547" s="8" t="n">
        <v>248.11</v>
      </c>
      <c r="O547" s="8" t="n">
        <v>12.86</v>
      </c>
    </row>
    <row r="548" customFormat="false" ht="15" hidden="false" customHeight="true" outlineLevel="0" collapsed="false">
      <c r="A548" s="8" t="s">
        <v>1901</v>
      </c>
      <c r="B548" s="8" t="s">
        <v>1902</v>
      </c>
      <c r="C548" s="8" t="s">
        <v>1277</v>
      </c>
      <c r="D548" s="8" t="s">
        <v>1903</v>
      </c>
      <c r="E548" s="8" t="s">
        <v>34</v>
      </c>
      <c r="F548" s="8" t="s">
        <v>35</v>
      </c>
      <c r="G548" s="8" t="s">
        <v>36</v>
      </c>
      <c r="H548" s="8" t="s">
        <v>114</v>
      </c>
      <c r="I548" s="8" t="s">
        <v>201</v>
      </c>
      <c r="J548" s="8" t="s">
        <v>29</v>
      </c>
      <c r="K548" s="8" t="n">
        <v>4</v>
      </c>
      <c r="L548" s="8" t="n">
        <v>334.95</v>
      </c>
      <c r="M548" s="8"/>
      <c r="N548" s="8" t="n">
        <v>1339.8</v>
      </c>
      <c r="O548" s="8" t="n">
        <v>344.85</v>
      </c>
    </row>
    <row r="549" customFormat="false" ht="15" hidden="false" customHeight="true" outlineLevel="0" collapsed="false">
      <c r="A549" s="8" t="s">
        <v>1904</v>
      </c>
      <c r="B549" s="8" t="s">
        <v>1905</v>
      </c>
      <c r="C549" s="8" t="s">
        <v>1906</v>
      </c>
      <c r="D549" s="8" t="s">
        <v>1907</v>
      </c>
      <c r="E549" s="8" t="s">
        <v>52</v>
      </c>
      <c r="F549" s="8" t="s">
        <v>173</v>
      </c>
      <c r="G549" s="8" t="s">
        <v>119</v>
      </c>
      <c r="H549" s="8" t="s">
        <v>120</v>
      </c>
      <c r="I549" s="8" t="s">
        <v>127</v>
      </c>
      <c r="J549" s="8" t="s">
        <v>29</v>
      </c>
      <c r="K549" s="8" t="n">
        <v>4</v>
      </c>
      <c r="L549" s="8" t="n">
        <v>365.83</v>
      </c>
      <c r="M549" s="8"/>
      <c r="N549" s="8" t="n">
        <v>1463.32</v>
      </c>
      <c r="O549" s="8" t="n">
        <v>120.63</v>
      </c>
    </row>
    <row r="550" customFormat="false" ht="15" hidden="false" customHeight="true" outlineLevel="0" collapsed="false">
      <c r="A550" s="8" t="s">
        <v>1908</v>
      </c>
      <c r="B550" s="8" t="s">
        <v>1909</v>
      </c>
      <c r="C550" s="8" t="s">
        <v>1910</v>
      </c>
      <c r="D550" s="8" t="s">
        <v>1911</v>
      </c>
      <c r="E550" s="8" t="s">
        <v>34</v>
      </c>
      <c r="F550" s="8" t="s">
        <v>69</v>
      </c>
      <c r="G550" s="8" t="s">
        <v>89</v>
      </c>
      <c r="H550" s="8" t="s">
        <v>142</v>
      </c>
      <c r="I550" s="8" t="s">
        <v>38</v>
      </c>
      <c r="J550" s="8" t="s">
        <v>29</v>
      </c>
      <c r="K550" s="8" t="n">
        <v>2</v>
      </c>
      <c r="L550" s="8" t="n">
        <v>1004.03</v>
      </c>
      <c r="M550" s="8" t="n">
        <v>0.1</v>
      </c>
      <c r="N550" s="8" t="n">
        <v>1807.25</v>
      </c>
      <c r="O550" s="8" t="n">
        <v>15.31</v>
      </c>
    </row>
    <row r="551" customFormat="false" ht="15" hidden="false" customHeight="true" outlineLevel="0" collapsed="false">
      <c r="A551" s="8" t="s">
        <v>1912</v>
      </c>
      <c r="B551" s="8" t="s">
        <v>1913</v>
      </c>
      <c r="C551" s="8" t="s">
        <v>1914</v>
      </c>
      <c r="D551" s="8" t="s">
        <v>898</v>
      </c>
      <c r="E551" s="8" t="s">
        <v>34</v>
      </c>
      <c r="F551" s="8" t="s">
        <v>69</v>
      </c>
      <c r="G551" s="8" t="s">
        <v>82</v>
      </c>
      <c r="H551" s="8" t="s">
        <v>77</v>
      </c>
      <c r="I551" s="8" t="s">
        <v>425</v>
      </c>
      <c r="J551" s="8" t="s">
        <v>29</v>
      </c>
      <c r="K551" s="8" t="n">
        <v>1</v>
      </c>
      <c r="L551" s="8" t="n">
        <v>731.54</v>
      </c>
      <c r="M551" s="8" t="n">
        <v>0.15</v>
      </c>
      <c r="N551" s="8" t="n">
        <v>621.81</v>
      </c>
      <c r="O551" s="8" t="n">
        <v>184.66</v>
      </c>
    </row>
    <row r="552" customFormat="false" ht="15" hidden="false" customHeight="true" outlineLevel="0" collapsed="false">
      <c r="A552" s="8" t="s">
        <v>1915</v>
      </c>
      <c r="B552" s="8" t="s">
        <v>1916</v>
      </c>
      <c r="C552" s="8" t="s">
        <v>1917</v>
      </c>
      <c r="D552" s="8" t="s">
        <v>1918</v>
      </c>
      <c r="E552" s="8"/>
      <c r="F552" s="8" t="s">
        <v>126</v>
      </c>
      <c r="G552" s="8" t="s">
        <v>82</v>
      </c>
      <c r="H552" s="8" t="s">
        <v>206</v>
      </c>
      <c r="I552" s="8" t="s">
        <v>143</v>
      </c>
      <c r="J552" s="8" t="s">
        <v>47</v>
      </c>
      <c r="K552" s="8" t="n">
        <v>3</v>
      </c>
      <c r="L552" s="8" t="n">
        <v>593.94</v>
      </c>
      <c r="M552" s="8"/>
      <c r="N552" s="8" t="n">
        <v>1781.82</v>
      </c>
      <c r="O552" s="8" t="n">
        <v>264.25</v>
      </c>
    </row>
    <row r="553" customFormat="false" ht="15" hidden="false" customHeight="true" outlineLevel="0" collapsed="false">
      <c r="A553" s="8" t="s">
        <v>1919</v>
      </c>
      <c r="B553" s="8" t="s">
        <v>41</v>
      </c>
      <c r="C553" s="8" t="s">
        <v>1675</v>
      </c>
      <c r="D553" s="8" t="s">
        <v>1027</v>
      </c>
      <c r="E553" s="8" t="s">
        <v>24</v>
      </c>
      <c r="F553" s="8" t="s">
        <v>53</v>
      </c>
      <c r="G553" s="8" t="s">
        <v>215</v>
      </c>
      <c r="H553" s="8" t="s">
        <v>37</v>
      </c>
      <c r="I553" s="8" t="s">
        <v>143</v>
      </c>
      <c r="J553" s="8" t="s">
        <v>39</v>
      </c>
      <c r="K553" s="8" t="n">
        <v>1</v>
      </c>
      <c r="L553" s="8" t="n">
        <v>403.28</v>
      </c>
      <c r="M553" s="8" t="n">
        <v>0</v>
      </c>
      <c r="N553" s="8" t="n">
        <v>403.28</v>
      </c>
      <c r="O553" s="8" t="n">
        <v>-3.93</v>
      </c>
    </row>
    <row r="554" customFormat="false" ht="15" hidden="false" customHeight="true" outlineLevel="0" collapsed="false">
      <c r="A554" s="8" t="s">
        <v>675</v>
      </c>
      <c r="B554" s="8" t="s">
        <v>676</v>
      </c>
      <c r="C554" s="8" t="s">
        <v>677</v>
      </c>
      <c r="D554" s="8" t="s">
        <v>678</v>
      </c>
      <c r="E554" s="8" t="s">
        <v>34</v>
      </c>
      <c r="F554" s="8" t="s">
        <v>126</v>
      </c>
      <c r="G554" s="8" t="s">
        <v>26</v>
      </c>
      <c r="H554" s="8" t="s">
        <v>103</v>
      </c>
      <c r="I554" s="8" t="s">
        <v>220</v>
      </c>
      <c r="J554" s="8" t="s">
        <v>39</v>
      </c>
      <c r="K554" s="8" t="n">
        <v>2</v>
      </c>
      <c r="L554" s="8" t="n">
        <v>341.8</v>
      </c>
      <c r="M554" s="8" t="n">
        <v>0.2</v>
      </c>
      <c r="N554" s="8" t="n">
        <v>546.88</v>
      </c>
      <c r="O554" s="8" t="n">
        <v>164.06</v>
      </c>
    </row>
    <row r="555" customFormat="false" ht="15" hidden="false" customHeight="true" outlineLevel="0" collapsed="false">
      <c r="A555" s="8" t="s">
        <v>1920</v>
      </c>
      <c r="B555" s="8" t="s">
        <v>1921</v>
      </c>
      <c r="C555" s="8" t="s">
        <v>1922</v>
      </c>
      <c r="D555" s="8" t="s">
        <v>1923</v>
      </c>
      <c r="E555" s="8" t="s">
        <v>34</v>
      </c>
      <c r="F555" s="8" t="s">
        <v>44</v>
      </c>
      <c r="G555" s="8" t="s">
        <v>62</v>
      </c>
      <c r="H555" s="8" t="s">
        <v>103</v>
      </c>
      <c r="I555" s="8" t="s">
        <v>220</v>
      </c>
      <c r="J555" s="8" t="s">
        <v>47</v>
      </c>
      <c r="K555" s="8"/>
      <c r="L555" s="8" t="n">
        <v>334.76</v>
      </c>
      <c r="M555" s="8"/>
      <c r="N555" s="8" t="n">
        <v>334.76</v>
      </c>
      <c r="O555" s="8" t="n">
        <v>49.77</v>
      </c>
    </row>
    <row r="556" customFormat="false" ht="15" hidden="false" customHeight="true" outlineLevel="0" collapsed="false">
      <c r="A556" s="8" t="s">
        <v>1924</v>
      </c>
      <c r="B556" s="8" t="s">
        <v>1925</v>
      </c>
      <c r="C556" s="8" t="s">
        <v>1926</v>
      </c>
      <c r="D556" s="8" t="s">
        <v>1927</v>
      </c>
      <c r="E556" s="8"/>
      <c r="F556" s="8" t="s">
        <v>372</v>
      </c>
      <c r="G556" s="8" t="s">
        <v>54</v>
      </c>
      <c r="H556" s="8" t="s">
        <v>142</v>
      </c>
      <c r="I556" s="8" t="s">
        <v>527</v>
      </c>
      <c r="J556" s="8" t="s">
        <v>29</v>
      </c>
      <c r="K556" s="8" t="n">
        <v>3</v>
      </c>
      <c r="L556" s="8" t="n">
        <v>324.79</v>
      </c>
      <c r="M556" s="8"/>
      <c r="N556" s="8" t="n">
        <v>974.37</v>
      </c>
      <c r="O556" s="8" t="n">
        <v>-90.63</v>
      </c>
    </row>
    <row r="557" customFormat="false" ht="15" hidden="false" customHeight="true" outlineLevel="0" collapsed="false">
      <c r="A557" s="8" t="s">
        <v>1928</v>
      </c>
      <c r="B557" s="8" t="s">
        <v>1929</v>
      </c>
      <c r="C557" s="8" t="s">
        <v>587</v>
      </c>
      <c r="D557" s="8"/>
      <c r="E557" s="8"/>
      <c r="F557" s="8" t="s">
        <v>61</v>
      </c>
      <c r="G557" s="8" t="s">
        <v>76</v>
      </c>
      <c r="H557" s="8" t="s">
        <v>77</v>
      </c>
      <c r="I557" s="8" t="s">
        <v>78</v>
      </c>
      <c r="J557" s="8" t="s">
        <v>64</v>
      </c>
      <c r="K557" s="8" t="n">
        <v>1</v>
      </c>
      <c r="L557" s="8" t="n">
        <v>279.63</v>
      </c>
      <c r="M557" s="8" t="n">
        <v>0.15</v>
      </c>
      <c r="N557" s="8" t="n">
        <v>237.69</v>
      </c>
      <c r="O557" s="8" t="n">
        <v>41</v>
      </c>
    </row>
    <row r="558" customFormat="false" ht="15" hidden="false" customHeight="true" outlineLevel="0" collapsed="false">
      <c r="A558" s="8" t="s">
        <v>1930</v>
      </c>
      <c r="B558" s="8" t="s">
        <v>1931</v>
      </c>
      <c r="C558" s="8" t="s">
        <v>966</v>
      </c>
      <c r="D558" s="8" t="s">
        <v>1932</v>
      </c>
      <c r="E558" s="8"/>
      <c r="F558" s="8" t="s">
        <v>101</v>
      </c>
      <c r="G558" s="8" t="s">
        <v>182</v>
      </c>
      <c r="H558" s="8" t="s">
        <v>27</v>
      </c>
      <c r="I558" s="8" t="s">
        <v>149</v>
      </c>
      <c r="J558" s="8" t="s">
        <v>47</v>
      </c>
      <c r="K558" s="8" t="n">
        <v>2</v>
      </c>
      <c r="L558" s="8" t="n">
        <v>1017.96</v>
      </c>
      <c r="M558" s="8" t="n">
        <v>0</v>
      </c>
      <c r="N558" s="8" t="n">
        <v>2035.92</v>
      </c>
      <c r="O558" s="8" t="n">
        <v>413.08</v>
      </c>
    </row>
    <row r="559" customFormat="false" ht="15" hidden="false" customHeight="true" outlineLevel="0" collapsed="false">
      <c r="A559" s="8" t="s">
        <v>1933</v>
      </c>
      <c r="B559" s="8" t="s">
        <v>1934</v>
      </c>
      <c r="C559" s="8" t="s">
        <v>1935</v>
      </c>
      <c r="D559" s="8" t="s">
        <v>1448</v>
      </c>
      <c r="E559" s="8"/>
      <c r="F559" s="8" t="s">
        <v>25</v>
      </c>
      <c r="G559" s="8" t="s">
        <v>89</v>
      </c>
      <c r="H559" s="8" t="s">
        <v>280</v>
      </c>
      <c r="I559" s="8" t="s">
        <v>109</v>
      </c>
      <c r="J559" s="8" t="s">
        <v>39</v>
      </c>
      <c r="K559" s="8" t="n">
        <v>2</v>
      </c>
      <c r="L559" s="8" t="n">
        <v>420.42</v>
      </c>
      <c r="M559" s="8" t="n">
        <v>0.1</v>
      </c>
      <c r="N559" s="8" t="n">
        <v>756.76</v>
      </c>
      <c r="O559" s="8" t="n">
        <v>28.3</v>
      </c>
    </row>
    <row r="560" customFormat="false" ht="15" hidden="false" customHeight="true" outlineLevel="0" collapsed="false">
      <c r="A560" s="8" t="s">
        <v>1936</v>
      </c>
      <c r="B560" s="8" t="s">
        <v>1937</v>
      </c>
      <c r="C560" s="8" t="s">
        <v>1938</v>
      </c>
      <c r="D560" s="8" t="s">
        <v>1939</v>
      </c>
      <c r="E560" s="8" t="s">
        <v>52</v>
      </c>
      <c r="F560" s="8" t="s">
        <v>154</v>
      </c>
      <c r="G560" s="8" t="s">
        <v>119</v>
      </c>
      <c r="H560" s="8" t="s">
        <v>120</v>
      </c>
      <c r="I560" s="8" t="s">
        <v>425</v>
      </c>
      <c r="J560" s="8" t="s">
        <v>39</v>
      </c>
      <c r="K560" s="8" t="n">
        <v>2</v>
      </c>
      <c r="L560" s="8" t="n">
        <v>499.51</v>
      </c>
      <c r="M560" s="8"/>
      <c r="N560" s="8" t="n">
        <v>999.02</v>
      </c>
      <c r="O560" s="8" t="n">
        <v>208.86</v>
      </c>
    </row>
    <row r="561" customFormat="false" ht="15" hidden="false" customHeight="true" outlineLevel="0" collapsed="false">
      <c r="A561" s="8" t="s">
        <v>1940</v>
      </c>
      <c r="B561" s="8" t="s">
        <v>1347</v>
      </c>
      <c r="C561" s="8" t="s">
        <v>1033</v>
      </c>
      <c r="D561" s="8" t="s">
        <v>1941</v>
      </c>
      <c r="E561" s="8" t="s">
        <v>24</v>
      </c>
      <c r="F561" s="8" t="s">
        <v>126</v>
      </c>
      <c r="G561" s="8" t="s">
        <v>82</v>
      </c>
      <c r="H561" s="8" t="s">
        <v>114</v>
      </c>
      <c r="I561" s="8" t="s">
        <v>297</v>
      </c>
      <c r="J561" s="8" t="s">
        <v>47</v>
      </c>
      <c r="K561" s="8" t="n">
        <v>1</v>
      </c>
      <c r="L561" s="8" t="n">
        <v>1144.81</v>
      </c>
      <c r="M561" s="8"/>
      <c r="N561" s="8" t="n">
        <v>1144.81</v>
      </c>
      <c r="O561" s="8" t="n">
        <v>78.15</v>
      </c>
    </row>
    <row r="562" customFormat="false" ht="15" hidden="false" customHeight="true" outlineLevel="0" collapsed="false">
      <c r="A562" s="8" t="s">
        <v>1942</v>
      </c>
      <c r="B562" s="8" t="s">
        <v>1943</v>
      </c>
      <c r="C562" s="8" t="s">
        <v>1944</v>
      </c>
      <c r="D562" s="8"/>
      <c r="E562" s="8" t="s">
        <v>34</v>
      </c>
      <c r="F562" s="8" t="s">
        <v>101</v>
      </c>
      <c r="G562" s="8" t="s">
        <v>182</v>
      </c>
      <c r="H562" s="8" t="s">
        <v>206</v>
      </c>
      <c r="I562" s="8" t="s">
        <v>84</v>
      </c>
      <c r="J562" s="8" t="s">
        <v>64</v>
      </c>
      <c r="K562" s="8" t="n">
        <v>3</v>
      </c>
      <c r="L562" s="8" t="n">
        <v>670.23</v>
      </c>
      <c r="M562" s="8"/>
      <c r="N562" s="8" t="n">
        <v>2010.69</v>
      </c>
      <c r="O562" s="8" t="n">
        <v>442.62</v>
      </c>
    </row>
    <row r="563" customFormat="false" ht="15" hidden="false" customHeight="true" outlineLevel="0" collapsed="false">
      <c r="A563" s="8" t="s">
        <v>1945</v>
      </c>
      <c r="B563" s="8" t="s">
        <v>1946</v>
      </c>
      <c r="C563" s="8" t="s">
        <v>1947</v>
      </c>
      <c r="D563" s="8" t="s">
        <v>279</v>
      </c>
      <c r="E563" s="8" t="s">
        <v>52</v>
      </c>
      <c r="F563" s="8" t="s">
        <v>94</v>
      </c>
      <c r="G563" s="8" t="s">
        <v>326</v>
      </c>
      <c r="H563" s="8" t="s">
        <v>280</v>
      </c>
      <c r="I563" s="8" t="s">
        <v>201</v>
      </c>
      <c r="J563" s="8" t="s">
        <v>64</v>
      </c>
      <c r="K563" s="8" t="n">
        <v>4</v>
      </c>
      <c r="L563" s="8" t="n">
        <v>661.49</v>
      </c>
      <c r="M563" s="8" t="n">
        <v>0.1</v>
      </c>
      <c r="N563" s="8" t="n">
        <v>2381.36</v>
      </c>
      <c r="O563" s="8" t="n">
        <v>237.28</v>
      </c>
    </row>
    <row r="564" customFormat="false" ht="15" hidden="false" customHeight="true" outlineLevel="0" collapsed="false">
      <c r="A564" s="8" t="s">
        <v>1948</v>
      </c>
      <c r="B564" s="8" t="s">
        <v>893</v>
      </c>
      <c r="C564" s="8"/>
      <c r="D564" s="8" t="s">
        <v>244</v>
      </c>
      <c r="E564" s="8" t="s">
        <v>34</v>
      </c>
      <c r="F564" s="8" t="s">
        <v>44</v>
      </c>
      <c r="G564" s="8" t="s">
        <v>62</v>
      </c>
      <c r="H564" s="8" t="s">
        <v>95</v>
      </c>
      <c r="I564" s="8" t="s">
        <v>115</v>
      </c>
      <c r="J564" s="8" t="s">
        <v>29</v>
      </c>
      <c r="K564" s="8"/>
      <c r="L564" s="8" t="n">
        <v>852.1</v>
      </c>
      <c r="M564" s="8" t="n">
        <v>0.2</v>
      </c>
      <c r="N564" s="8" t="n">
        <v>681.68</v>
      </c>
      <c r="O564" s="8" t="n">
        <v>-29.12</v>
      </c>
    </row>
    <row r="565" customFormat="false" ht="15" hidden="false" customHeight="true" outlineLevel="0" collapsed="false">
      <c r="A565" s="8" t="s">
        <v>1949</v>
      </c>
      <c r="B565" s="8" t="s">
        <v>1950</v>
      </c>
      <c r="C565" s="8" t="s">
        <v>1951</v>
      </c>
      <c r="D565" s="8" t="s">
        <v>1952</v>
      </c>
      <c r="E565" s="8" t="s">
        <v>34</v>
      </c>
      <c r="F565" s="8" t="s">
        <v>200</v>
      </c>
      <c r="G565" s="8" t="s">
        <v>26</v>
      </c>
      <c r="H565" s="8" t="s">
        <v>27</v>
      </c>
      <c r="I565" s="8" t="s">
        <v>160</v>
      </c>
      <c r="J565" s="8" t="s">
        <v>47</v>
      </c>
      <c r="K565" s="8" t="n">
        <v>3</v>
      </c>
      <c r="L565" s="8" t="n">
        <v>955.03</v>
      </c>
      <c r="M565" s="8"/>
      <c r="N565" s="8" t="n">
        <v>2865.09</v>
      </c>
      <c r="O565" s="8" t="n">
        <v>912.74</v>
      </c>
    </row>
    <row r="566" customFormat="false" ht="15" hidden="false" customHeight="true" outlineLevel="0" collapsed="false">
      <c r="A566" s="8" t="s">
        <v>1953</v>
      </c>
      <c r="B566" s="8" t="s">
        <v>1489</v>
      </c>
      <c r="C566" s="8" t="s">
        <v>1738</v>
      </c>
      <c r="D566" s="8" t="s">
        <v>1040</v>
      </c>
      <c r="E566" s="8" t="s">
        <v>24</v>
      </c>
      <c r="F566" s="8" t="s">
        <v>35</v>
      </c>
      <c r="G566" s="8" t="s">
        <v>76</v>
      </c>
      <c r="H566" s="8" t="s">
        <v>120</v>
      </c>
      <c r="I566" s="8" t="s">
        <v>127</v>
      </c>
      <c r="J566" s="8" t="s">
        <v>29</v>
      </c>
      <c r="K566" s="8" t="n">
        <v>1</v>
      </c>
      <c r="L566" s="8" t="n">
        <v>590.41</v>
      </c>
      <c r="M566" s="8" t="n">
        <v>0.2</v>
      </c>
      <c r="N566" s="8" t="n">
        <v>472.33</v>
      </c>
      <c r="O566" s="8" t="n">
        <v>154.62</v>
      </c>
    </row>
    <row r="567" customFormat="false" ht="15" hidden="false" customHeight="true" outlineLevel="0" collapsed="false">
      <c r="A567" s="8" t="s">
        <v>1954</v>
      </c>
      <c r="B567" s="8" t="s">
        <v>1955</v>
      </c>
      <c r="C567" s="8" t="s">
        <v>1956</v>
      </c>
      <c r="D567" s="8" t="s">
        <v>279</v>
      </c>
      <c r="E567" s="8" t="s">
        <v>24</v>
      </c>
      <c r="F567" s="8" t="s">
        <v>69</v>
      </c>
      <c r="G567" s="8" t="s">
        <v>26</v>
      </c>
      <c r="H567" s="8" t="s">
        <v>55</v>
      </c>
      <c r="I567" s="8" t="s">
        <v>133</v>
      </c>
      <c r="J567" s="8" t="s">
        <v>29</v>
      </c>
      <c r="K567" s="8" t="n">
        <v>1</v>
      </c>
      <c r="L567" s="8" t="n">
        <v>314.19</v>
      </c>
      <c r="M567" s="8" t="n">
        <v>0.2</v>
      </c>
      <c r="N567" s="8" t="n">
        <v>251.35</v>
      </c>
      <c r="O567" s="8" t="n">
        <v>87.71</v>
      </c>
    </row>
    <row r="568" customFormat="false" ht="15" hidden="false" customHeight="true" outlineLevel="0" collapsed="false">
      <c r="A568" s="8" t="s">
        <v>1957</v>
      </c>
      <c r="B568" s="8" t="s">
        <v>1574</v>
      </c>
      <c r="C568" s="8" t="s">
        <v>1958</v>
      </c>
      <c r="D568" s="8" t="s">
        <v>1199</v>
      </c>
      <c r="E568" s="8" t="s">
        <v>34</v>
      </c>
      <c r="F568" s="8" t="s">
        <v>61</v>
      </c>
      <c r="G568" s="8" t="s">
        <v>76</v>
      </c>
      <c r="H568" s="8" t="s">
        <v>359</v>
      </c>
      <c r="I568" s="8" t="s">
        <v>220</v>
      </c>
      <c r="J568" s="8" t="s">
        <v>29</v>
      </c>
      <c r="K568" s="8" t="n">
        <v>1</v>
      </c>
      <c r="L568" s="8" t="n">
        <v>547.36</v>
      </c>
      <c r="M568" s="8" t="n">
        <v>0.05</v>
      </c>
      <c r="N568" s="8" t="n">
        <v>519.99</v>
      </c>
      <c r="O568" s="8" t="n">
        <v>6.84</v>
      </c>
    </row>
    <row r="569" customFormat="false" ht="15" hidden="false" customHeight="true" outlineLevel="0" collapsed="false">
      <c r="A569" s="8" t="s">
        <v>1959</v>
      </c>
      <c r="B569" s="8" t="s">
        <v>1960</v>
      </c>
      <c r="C569" s="8" t="s">
        <v>602</v>
      </c>
      <c r="D569" s="8" t="s">
        <v>408</v>
      </c>
      <c r="E569" s="8" t="s">
        <v>34</v>
      </c>
      <c r="F569" s="8" t="s">
        <v>229</v>
      </c>
      <c r="G569" s="8" t="s">
        <v>102</v>
      </c>
      <c r="H569" s="8" t="s">
        <v>37</v>
      </c>
      <c r="I569" s="8" t="s">
        <v>527</v>
      </c>
      <c r="J569" s="8" t="s">
        <v>47</v>
      </c>
      <c r="K569" s="8" t="n">
        <v>2</v>
      </c>
      <c r="L569" s="8" t="n">
        <v>631.63</v>
      </c>
      <c r="M569" s="8"/>
      <c r="N569" s="8" t="n">
        <v>1263.26</v>
      </c>
      <c r="O569" s="8" t="n">
        <v>272.43</v>
      </c>
    </row>
    <row r="570" customFormat="false" ht="15" hidden="false" customHeight="true" outlineLevel="0" collapsed="false">
      <c r="A570" s="8" t="s">
        <v>1961</v>
      </c>
      <c r="B570" s="8" t="s">
        <v>1962</v>
      </c>
      <c r="C570" s="8" t="s">
        <v>1963</v>
      </c>
      <c r="D570" s="8" t="s">
        <v>1964</v>
      </c>
      <c r="E570" s="8" t="s">
        <v>52</v>
      </c>
      <c r="F570" s="8" t="s">
        <v>35</v>
      </c>
      <c r="G570" s="8" t="s">
        <v>36</v>
      </c>
      <c r="H570" s="8" t="s">
        <v>103</v>
      </c>
      <c r="I570" s="8" t="s">
        <v>56</v>
      </c>
      <c r="J570" s="8" t="s">
        <v>47</v>
      </c>
      <c r="K570" s="8" t="n">
        <v>4</v>
      </c>
      <c r="L570" s="8" t="n">
        <v>345.56</v>
      </c>
      <c r="M570" s="8" t="n">
        <v>0.15</v>
      </c>
      <c r="N570" s="8" t="n">
        <v>1174.9</v>
      </c>
      <c r="O570" s="8" t="n">
        <v>-62.72</v>
      </c>
    </row>
    <row r="571" customFormat="false" ht="15" hidden="false" customHeight="true" outlineLevel="0" collapsed="false">
      <c r="A571" s="8" t="s">
        <v>1965</v>
      </c>
      <c r="B571" s="8" t="s">
        <v>179</v>
      </c>
      <c r="C571" s="8" t="s">
        <v>1966</v>
      </c>
      <c r="D571" s="8" t="s">
        <v>857</v>
      </c>
      <c r="E571" s="8" t="s">
        <v>24</v>
      </c>
      <c r="F571" s="8" t="s">
        <v>126</v>
      </c>
      <c r="G571" s="8" t="s">
        <v>26</v>
      </c>
      <c r="H571" s="8" t="s">
        <v>142</v>
      </c>
      <c r="I571" s="8" t="s">
        <v>38</v>
      </c>
      <c r="J571" s="8" t="s">
        <v>39</v>
      </c>
      <c r="K571" s="8" t="n">
        <v>2</v>
      </c>
      <c r="L571" s="8" t="n">
        <v>1073.71</v>
      </c>
      <c r="M571" s="8" t="n">
        <v>0.1</v>
      </c>
      <c r="N571" s="8" t="n">
        <v>1932.68</v>
      </c>
      <c r="O571" s="8" t="n">
        <v>-13.43</v>
      </c>
    </row>
    <row r="572" customFormat="false" ht="15" hidden="false" customHeight="true" outlineLevel="0" collapsed="false">
      <c r="A572" s="8" t="s">
        <v>1967</v>
      </c>
      <c r="B572" s="8" t="s">
        <v>1968</v>
      </c>
      <c r="C572" s="8" t="s">
        <v>1969</v>
      </c>
      <c r="D572" s="8" t="s">
        <v>1970</v>
      </c>
      <c r="E572" s="8" t="s">
        <v>24</v>
      </c>
      <c r="F572" s="8" t="s">
        <v>44</v>
      </c>
      <c r="G572" s="8" t="s">
        <v>62</v>
      </c>
      <c r="H572" s="8" t="s">
        <v>70</v>
      </c>
      <c r="I572" s="8" t="s">
        <v>425</v>
      </c>
      <c r="J572" s="8" t="s">
        <v>47</v>
      </c>
      <c r="K572" s="8" t="n">
        <v>2</v>
      </c>
      <c r="L572" s="8" t="n">
        <v>755.9</v>
      </c>
      <c r="M572" s="8" t="n">
        <v>0.05</v>
      </c>
      <c r="N572" s="8" t="n">
        <v>1436.21</v>
      </c>
      <c r="O572" s="8" t="n">
        <v>247.12</v>
      </c>
    </row>
    <row r="573" customFormat="false" ht="15" hidden="false" customHeight="true" outlineLevel="0" collapsed="false">
      <c r="A573" s="8" t="s">
        <v>1971</v>
      </c>
      <c r="B573" s="8" t="s">
        <v>1972</v>
      </c>
      <c r="C573" s="8" t="s">
        <v>1973</v>
      </c>
      <c r="D573" s="8" t="s">
        <v>1974</v>
      </c>
      <c r="E573" s="8" t="s">
        <v>52</v>
      </c>
      <c r="F573" s="8" t="s">
        <v>126</v>
      </c>
      <c r="G573" s="8" t="s">
        <v>82</v>
      </c>
      <c r="H573" s="8" t="s">
        <v>83</v>
      </c>
      <c r="I573" s="8" t="s">
        <v>84</v>
      </c>
      <c r="J573" s="8" t="s">
        <v>64</v>
      </c>
      <c r="K573" s="8" t="n">
        <v>3</v>
      </c>
      <c r="L573" s="8" t="n">
        <v>1176.71</v>
      </c>
      <c r="M573" s="8"/>
      <c r="N573" s="8" t="n">
        <v>3530.13</v>
      </c>
      <c r="O573" s="8" t="n">
        <v>1194.71</v>
      </c>
    </row>
    <row r="574" customFormat="false" ht="15" hidden="false" customHeight="true" outlineLevel="0" collapsed="false">
      <c r="A574" s="8" t="s">
        <v>1975</v>
      </c>
      <c r="B574" s="8" t="s">
        <v>1976</v>
      </c>
      <c r="C574" s="8" t="s">
        <v>1977</v>
      </c>
      <c r="D574" s="8" t="s">
        <v>403</v>
      </c>
      <c r="E574" s="8" t="s">
        <v>52</v>
      </c>
      <c r="F574" s="8" t="s">
        <v>173</v>
      </c>
      <c r="G574" s="8" t="s">
        <v>119</v>
      </c>
      <c r="H574" s="8" t="s">
        <v>27</v>
      </c>
      <c r="I574" s="8" t="s">
        <v>28</v>
      </c>
      <c r="J574" s="8" t="s">
        <v>29</v>
      </c>
      <c r="K574" s="8" t="n">
        <v>2</v>
      </c>
      <c r="L574" s="8" t="n">
        <v>502.04</v>
      </c>
      <c r="M574" s="8" t="n">
        <v>0.2</v>
      </c>
      <c r="N574" s="8" t="n">
        <v>803.26</v>
      </c>
      <c r="O574" s="8" t="n">
        <v>263.18</v>
      </c>
    </row>
    <row r="575" customFormat="false" ht="15" hidden="false" customHeight="true" outlineLevel="0" collapsed="false">
      <c r="A575" s="8" t="s">
        <v>1978</v>
      </c>
      <c r="B575" s="8" t="s">
        <v>286</v>
      </c>
      <c r="C575" s="8"/>
      <c r="D575" s="8" t="s">
        <v>420</v>
      </c>
      <c r="E575" s="8" t="s">
        <v>52</v>
      </c>
      <c r="F575" s="8" t="s">
        <v>154</v>
      </c>
      <c r="G575" s="8" t="s">
        <v>182</v>
      </c>
      <c r="H575" s="8" t="s">
        <v>103</v>
      </c>
      <c r="I575" s="8" t="s">
        <v>63</v>
      </c>
      <c r="J575" s="8" t="s">
        <v>29</v>
      </c>
      <c r="K575" s="8" t="n">
        <v>3</v>
      </c>
      <c r="L575" s="8" t="n">
        <v>257.76</v>
      </c>
      <c r="M575" s="8" t="n">
        <v>0.05</v>
      </c>
      <c r="N575" s="8" t="n">
        <v>734.62</v>
      </c>
      <c r="O575" s="8" t="n">
        <v>-35.99</v>
      </c>
    </row>
    <row r="576" customFormat="false" ht="15" hidden="false" customHeight="true" outlineLevel="0" collapsed="false">
      <c r="A576" s="8" t="s">
        <v>1979</v>
      </c>
      <c r="B576" s="8" t="s">
        <v>1980</v>
      </c>
      <c r="C576" s="8" t="s">
        <v>1981</v>
      </c>
      <c r="D576" s="8" t="s">
        <v>346</v>
      </c>
      <c r="E576" s="8"/>
      <c r="F576" s="8" t="s">
        <v>61</v>
      </c>
      <c r="G576" s="8" t="s">
        <v>62</v>
      </c>
      <c r="H576" s="8" t="s">
        <v>148</v>
      </c>
      <c r="I576" s="8" t="s">
        <v>160</v>
      </c>
      <c r="J576" s="8" t="s">
        <v>29</v>
      </c>
      <c r="K576" s="8" t="n">
        <v>5</v>
      </c>
      <c r="L576" s="8" t="n">
        <v>1162.86</v>
      </c>
      <c r="M576" s="8" t="n">
        <v>0.1</v>
      </c>
      <c r="N576" s="8" t="n">
        <v>5232.87</v>
      </c>
      <c r="O576" s="8" t="n">
        <v>-85.91</v>
      </c>
    </row>
    <row r="577" customFormat="false" ht="15" hidden="false" customHeight="true" outlineLevel="0" collapsed="false">
      <c r="A577" s="8" t="s">
        <v>1982</v>
      </c>
      <c r="B577" s="8" t="s">
        <v>1983</v>
      </c>
      <c r="C577" s="8" t="s">
        <v>1984</v>
      </c>
      <c r="D577" s="8" t="s">
        <v>1985</v>
      </c>
      <c r="E577" s="8" t="s">
        <v>24</v>
      </c>
      <c r="F577" s="8" t="s">
        <v>94</v>
      </c>
      <c r="G577" s="8" t="s">
        <v>54</v>
      </c>
      <c r="H577" s="8" t="s">
        <v>206</v>
      </c>
      <c r="I577" s="8" t="s">
        <v>84</v>
      </c>
      <c r="J577" s="8" t="s">
        <v>29</v>
      </c>
      <c r="K577" s="8" t="n">
        <v>2</v>
      </c>
      <c r="L577" s="8" t="n">
        <v>105.75</v>
      </c>
      <c r="M577" s="8" t="n">
        <v>0.15</v>
      </c>
      <c r="N577" s="8" t="n">
        <v>179.78</v>
      </c>
      <c r="O577" s="8" t="n">
        <v>-15.13</v>
      </c>
    </row>
    <row r="578" customFormat="false" ht="15" hidden="false" customHeight="true" outlineLevel="0" collapsed="false">
      <c r="A578" s="8" t="s">
        <v>1986</v>
      </c>
      <c r="B578" s="8" t="s">
        <v>50</v>
      </c>
      <c r="C578" s="8" t="s">
        <v>1987</v>
      </c>
      <c r="D578" s="8" t="s">
        <v>1270</v>
      </c>
      <c r="E578" s="8" t="s">
        <v>34</v>
      </c>
      <c r="F578" s="8" t="s">
        <v>154</v>
      </c>
      <c r="G578" s="8" t="s">
        <v>182</v>
      </c>
      <c r="H578" s="8" t="s">
        <v>155</v>
      </c>
      <c r="I578" s="8" t="s">
        <v>46</v>
      </c>
      <c r="J578" s="8" t="s">
        <v>39</v>
      </c>
      <c r="K578" s="8" t="n">
        <v>2</v>
      </c>
      <c r="L578" s="8" t="n">
        <v>764.18</v>
      </c>
      <c r="M578" s="8"/>
      <c r="N578" s="8" t="n">
        <v>1528.36</v>
      </c>
      <c r="O578" s="8" t="n">
        <v>486.97</v>
      </c>
    </row>
    <row r="579" customFormat="false" ht="15" hidden="false" customHeight="true" outlineLevel="0" collapsed="false">
      <c r="A579" s="8" t="s">
        <v>1988</v>
      </c>
      <c r="B579" s="8" t="s">
        <v>1989</v>
      </c>
      <c r="C579" s="8"/>
      <c r="D579" s="8" t="s">
        <v>1990</v>
      </c>
      <c r="E579" s="8" t="s">
        <v>34</v>
      </c>
      <c r="F579" s="8" t="s">
        <v>25</v>
      </c>
      <c r="G579" s="8" t="s">
        <v>82</v>
      </c>
      <c r="H579" s="8" t="s">
        <v>27</v>
      </c>
      <c r="I579" s="8" t="s">
        <v>149</v>
      </c>
      <c r="J579" s="8" t="s">
        <v>39</v>
      </c>
      <c r="K579" s="8" t="n">
        <v>1</v>
      </c>
      <c r="L579" s="8" t="n">
        <v>430.73</v>
      </c>
      <c r="M579" s="8" t="n">
        <v>0</v>
      </c>
      <c r="N579" s="8" t="n">
        <v>430.73</v>
      </c>
      <c r="O579" s="8" t="n">
        <v>-11.62</v>
      </c>
    </row>
    <row r="580" customFormat="false" ht="15" hidden="false" customHeight="true" outlineLevel="0" collapsed="false">
      <c r="A580" s="8" t="s">
        <v>1991</v>
      </c>
      <c r="B580" s="8" t="s">
        <v>1992</v>
      </c>
      <c r="C580" s="8" t="s">
        <v>1993</v>
      </c>
      <c r="D580" s="8" t="s">
        <v>915</v>
      </c>
      <c r="E580" s="8" t="s">
        <v>34</v>
      </c>
      <c r="F580" s="8" t="s">
        <v>372</v>
      </c>
      <c r="G580" s="8" t="s">
        <v>326</v>
      </c>
      <c r="H580" s="8" t="s">
        <v>191</v>
      </c>
      <c r="I580" s="8" t="s">
        <v>71</v>
      </c>
      <c r="J580" s="8" t="s">
        <v>47</v>
      </c>
      <c r="K580" s="8"/>
      <c r="L580" s="8" t="n">
        <v>382.53</v>
      </c>
      <c r="M580" s="8"/>
      <c r="N580" s="8" t="n">
        <v>382.53</v>
      </c>
      <c r="O580" s="8" t="n">
        <v>16.86</v>
      </c>
    </row>
    <row r="581" customFormat="false" ht="15" hidden="false" customHeight="true" outlineLevel="0" collapsed="false">
      <c r="A581" s="8" t="s">
        <v>1994</v>
      </c>
      <c r="B581" s="8" t="s">
        <v>1995</v>
      </c>
      <c r="C581" s="8" t="s">
        <v>1996</v>
      </c>
      <c r="D581" s="8" t="s">
        <v>1593</v>
      </c>
      <c r="E581" s="8" t="s">
        <v>24</v>
      </c>
      <c r="F581" s="8" t="s">
        <v>61</v>
      </c>
      <c r="G581" s="8" t="s">
        <v>62</v>
      </c>
      <c r="H581" s="8" t="s">
        <v>27</v>
      </c>
      <c r="I581" s="8" t="s">
        <v>149</v>
      </c>
      <c r="J581" s="8" t="s">
        <v>64</v>
      </c>
      <c r="K581" s="8" t="n">
        <v>2</v>
      </c>
      <c r="L581" s="8" t="n">
        <v>1082.72</v>
      </c>
      <c r="M581" s="8" t="n">
        <v>0.1</v>
      </c>
      <c r="N581" s="8" t="n">
        <v>1948.9</v>
      </c>
      <c r="O581" s="8" t="n">
        <v>299.13</v>
      </c>
    </row>
    <row r="582" customFormat="false" ht="15" hidden="false" customHeight="true" outlineLevel="0" collapsed="false">
      <c r="A582" s="8" t="s">
        <v>1997</v>
      </c>
      <c r="B582" s="8" t="s">
        <v>1998</v>
      </c>
      <c r="C582" s="8" t="s">
        <v>1999</v>
      </c>
      <c r="D582" s="8" t="s">
        <v>1625</v>
      </c>
      <c r="E582" s="8"/>
      <c r="F582" s="8" t="s">
        <v>126</v>
      </c>
      <c r="G582" s="8" t="s">
        <v>89</v>
      </c>
      <c r="H582" s="8" t="s">
        <v>77</v>
      </c>
      <c r="I582" s="8" t="s">
        <v>71</v>
      </c>
      <c r="J582" s="8" t="s">
        <v>47</v>
      </c>
      <c r="K582" s="8" t="n">
        <v>1</v>
      </c>
      <c r="L582" s="8" t="n">
        <v>96.27</v>
      </c>
      <c r="M582" s="8" t="n">
        <v>0.2</v>
      </c>
      <c r="N582" s="8" t="n">
        <v>77.02</v>
      </c>
      <c r="O582" s="8" t="n">
        <v>2.79</v>
      </c>
    </row>
    <row r="583" customFormat="false" ht="15" hidden="false" customHeight="true" outlineLevel="0" collapsed="false">
      <c r="A583" s="8" t="s">
        <v>2000</v>
      </c>
      <c r="B583" s="8" t="s">
        <v>2001</v>
      </c>
      <c r="C583" s="8" t="s">
        <v>855</v>
      </c>
      <c r="D583" s="8" t="s">
        <v>486</v>
      </c>
      <c r="E583" s="8" t="s">
        <v>52</v>
      </c>
      <c r="F583" s="8" t="s">
        <v>126</v>
      </c>
      <c r="G583" s="8" t="s">
        <v>82</v>
      </c>
      <c r="H583" s="8" t="s">
        <v>103</v>
      </c>
      <c r="I583" s="8" t="s">
        <v>220</v>
      </c>
      <c r="J583" s="8" t="s">
        <v>39</v>
      </c>
      <c r="K583" s="8" t="n">
        <v>3</v>
      </c>
      <c r="L583" s="8" t="n">
        <v>484.12</v>
      </c>
      <c r="M583" s="8"/>
      <c r="N583" s="8" t="n">
        <v>1452.36</v>
      </c>
      <c r="O583" s="8" t="n">
        <v>300.62</v>
      </c>
    </row>
    <row r="584" customFormat="false" ht="15" hidden="false" customHeight="true" outlineLevel="0" collapsed="false">
      <c r="A584" s="8" t="s">
        <v>2002</v>
      </c>
      <c r="B584" s="8" t="s">
        <v>1865</v>
      </c>
      <c r="C584" s="8" t="s">
        <v>2003</v>
      </c>
      <c r="D584" s="8" t="s">
        <v>2004</v>
      </c>
      <c r="E584" s="8"/>
      <c r="F584" s="8" t="s">
        <v>44</v>
      </c>
      <c r="G584" s="8" t="s">
        <v>76</v>
      </c>
      <c r="H584" s="8" t="s">
        <v>120</v>
      </c>
      <c r="I584" s="8" t="s">
        <v>121</v>
      </c>
      <c r="J584" s="8" t="s">
        <v>64</v>
      </c>
      <c r="K584" s="8" t="n">
        <v>1</v>
      </c>
      <c r="L584" s="8" t="n">
        <v>738.86</v>
      </c>
      <c r="M584" s="8" t="n">
        <v>0.2</v>
      </c>
      <c r="N584" s="8" t="n">
        <v>591.09</v>
      </c>
      <c r="O584" s="8" t="n">
        <v>52.4</v>
      </c>
    </row>
    <row r="585" customFormat="false" ht="15" hidden="false" customHeight="true" outlineLevel="0" collapsed="false">
      <c r="A585" s="8" t="s">
        <v>2005</v>
      </c>
      <c r="B585" s="8" t="s">
        <v>2006</v>
      </c>
      <c r="C585" s="8" t="s">
        <v>2007</v>
      </c>
      <c r="D585" s="8" t="s">
        <v>2008</v>
      </c>
      <c r="E585" s="8" t="s">
        <v>34</v>
      </c>
      <c r="F585" s="8" t="s">
        <v>372</v>
      </c>
      <c r="G585" s="8" t="s">
        <v>54</v>
      </c>
      <c r="H585" s="8" t="s">
        <v>155</v>
      </c>
      <c r="I585" s="8" t="s">
        <v>28</v>
      </c>
      <c r="J585" s="8" t="s">
        <v>29</v>
      </c>
      <c r="K585" s="8" t="n">
        <v>2</v>
      </c>
      <c r="L585" s="8" t="n">
        <v>759.24</v>
      </c>
      <c r="M585" s="8" t="n">
        <v>0.1</v>
      </c>
      <c r="N585" s="8" t="n">
        <v>1366.63</v>
      </c>
      <c r="O585" s="8" t="n">
        <v>62.82</v>
      </c>
    </row>
    <row r="586" customFormat="false" ht="15" hidden="false" customHeight="true" outlineLevel="0" collapsed="false">
      <c r="A586" s="8" t="s">
        <v>2009</v>
      </c>
      <c r="B586" s="8" t="s">
        <v>1463</v>
      </c>
      <c r="C586" s="8" t="s">
        <v>2010</v>
      </c>
      <c r="D586" s="8" t="s">
        <v>2011</v>
      </c>
      <c r="E586" s="8"/>
      <c r="F586" s="8" t="s">
        <v>53</v>
      </c>
      <c r="G586" s="8" t="s">
        <v>54</v>
      </c>
      <c r="H586" s="8" t="s">
        <v>83</v>
      </c>
      <c r="I586" s="8" t="s">
        <v>38</v>
      </c>
      <c r="J586" s="8" t="s">
        <v>64</v>
      </c>
      <c r="K586" s="8" t="n">
        <v>1</v>
      </c>
      <c r="L586" s="8" t="n">
        <v>426.85</v>
      </c>
      <c r="M586" s="8"/>
      <c r="N586" s="8" t="n">
        <v>426.85</v>
      </c>
      <c r="O586" s="8" t="n">
        <v>-1.87</v>
      </c>
    </row>
    <row r="587" customFormat="false" ht="15" hidden="false" customHeight="true" outlineLevel="0" collapsed="false">
      <c r="A587" s="8" t="s">
        <v>2012</v>
      </c>
      <c r="B587" s="8" t="s">
        <v>1144</v>
      </c>
      <c r="C587" s="8" t="s">
        <v>2013</v>
      </c>
      <c r="D587" s="8" t="s">
        <v>1192</v>
      </c>
      <c r="E587" s="8" t="s">
        <v>52</v>
      </c>
      <c r="F587" s="8" t="s">
        <v>35</v>
      </c>
      <c r="G587" s="8" t="s">
        <v>36</v>
      </c>
      <c r="H587" s="8" t="s">
        <v>132</v>
      </c>
      <c r="I587" s="8" t="s">
        <v>220</v>
      </c>
      <c r="J587" s="8" t="s">
        <v>47</v>
      </c>
      <c r="K587" s="8" t="n">
        <v>1</v>
      </c>
      <c r="L587" s="8" t="n">
        <v>369.62</v>
      </c>
      <c r="M587" s="8" t="n">
        <v>0.15</v>
      </c>
      <c r="N587" s="8" t="n">
        <v>314.18</v>
      </c>
      <c r="O587" s="8" t="n">
        <v>36.87</v>
      </c>
    </row>
    <row r="588" customFormat="false" ht="15" hidden="false" customHeight="true" outlineLevel="0" collapsed="false">
      <c r="A588" s="8" t="s">
        <v>2014</v>
      </c>
      <c r="B588" s="8" t="s">
        <v>2015</v>
      </c>
      <c r="C588" s="8" t="s">
        <v>448</v>
      </c>
      <c r="D588" s="8" t="s">
        <v>1952</v>
      </c>
      <c r="E588" s="8" t="s">
        <v>24</v>
      </c>
      <c r="F588" s="8" t="s">
        <v>25</v>
      </c>
      <c r="G588" s="8" t="s">
        <v>26</v>
      </c>
      <c r="H588" s="8" t="s">
        <v>280</v>
      </c>
      <c r="I588" s="8" t="s">
        <v>96</v>
      </c>
      <c r="J588" s="8" t="s">
        <v>47</v>
      </c>
      <c r="K588" s="8" t="n">
        <v>4</v>
      </c>
      <c r="L588" s="8" t="n">
        <v>83.17</v>
      </c>
      <c r="M588" s="8"/>
      <c r="N588" s="8" t="n">
        <v>332.68</v>
      </c>
      <c r="O588" s="8" t="n">
        <v>-1.05</v>
      </c>
    </row>
    <row r="589" customFormat="false" ht="15" hidden="false" customHeight="true" outlineLevel="0" collapsed="false">
      <c r="A589" s="8" t="s">
        <v>2016</v>
      </c>
      <c r="B589" s="8" t="s">
        <v>2017</v>
      </c>
      <c r="C589" s="8" t="s">
        <v>980</v>
      </c>
      <c r="D589" s="8" t="s">
        <v>1199</v>
      </c>
      <c r="E589" s="8" t="s">
        <v>34</v>
      </c>
      <c r="F589" s="8" t="s">
        <v>94</v>
      </c>
      <c r="G589" s="8" t="s">
        <v>215</v>
      </c>
      <c r="H589" s="8" t="s">
        <v>132</v>
      </c>
      <c r="I589" s="8" t="s">
        <v>104</v>
      </c>
      <c r="J589" s="8" t="s">
        <v>29</v>
      </c>
      <c r="K589" s="8" t="n">
        <v>2</v>
      </c>
      <c r="L589" s="8" t="n">
        <v>1140.5</v>
      </c>
      <c r="M589" s="8" t="n">
        <v>0.2</v>
      </c>
      <c r="N589" s="8" t="n">
        <v>1824.8</v>
      </c>
      <c r="O589" s="8" t="n">
        <v>-30.99</v>
      </c>
    </row>
    <row r="590" customFormat="false" ht="15" hidden="false" customHeight="true" outlineLevel="0" collapsed="false">
      <c r="A590" s="8" t="s">
        <v>2018</v>
      </c>
      <c r="B590" s="8" t="s">
        <v>2019</v>
      </c>
      <c r="C590" s="8" t="s">
        <v>2020</v>
      </c>
      <c r="D590" s="8" t="s">
        <v>2021</v>
      </c>
      <c r="E590" s="8" t="s">
        <v>24</v>
      </c>
      <c r="F590" s="8" t="s">
        <v>35</v>
      </c>
      <c r="G590" s="8" t="s">
        <v>36</v>
      </c>
      <c r="H590" s="8" t="s">
        <v>280</v>
      </c>
      <c r="I590" s="8" t="s">
        <v>96</v>
      </c>
      <c r="J590" s="8" t="s">
        <v>39</v>
      </c>
      <c r="K590" s="8" t="n">
        <v>3</v>
      </c>
      <c r="L590" s="8" t="n">
        <v>332.25</v>
      </c>
      <c r="M590" s="8" t="n">
        <v>0.15</v>
      </c>
      <c r="N590" s="8" t="n">
        <v>847.24</v>
      </c>
      <c r="O590" s="8" t="n">
        <v>21.51</v>
      </c>
    </row>
    <row r="591" customFormat="false" ht="15" hidden="false" customHeight="true" outlineLevel="0" collapsed="false">
      <c r="A591" s="8" t="s">
        <v>2022</v>
      </c>
      <c r="B591" s="8" t="s">
        <v>2023</v>
      </c>
      <c r="C591" s="8" t="s">
        <v>886</v>
      </c>
      <c r="D591" s="8"/>
      <c r="E591" s="8"/>
      <c r="F591" s="8" t="s">
        <v>147</v>
      </c>
      <c r="G591" s="8" t="s">
        <v>215</v>
      </c>
      <c r="H591" s="8" t="s">
        <v>155</v>
      </c>
      <c r="I591" s="8" t="s">
        <v>28</v>
      </c>
      <c r="J591" s="8" t="s">
        <v>64</v>
      </c>
      <c r="K591" s="8"/>
      <c r="L591" s="8" t="n">
        <v>1124.63</v>
      </c>
      <c r="M591" s="8" t="n">
        <v>0.1</v>
      </c>
      <c r="N591" s="8" t="n">
        <v>1012.17</v>
      </c>
      <c r="O591" s="8" t="n">
        <v>-9.89</v>
      </c>
    </row>
    <row r="592" customFormat="false" ht="15" hidden="false" customHeight="true" outlineLevel="0" collapsed="false">
      <c r="A592" s="8" t="s">
        <v>2024</v>
      </c>
      <c r="B592" s="8" t="s">
        <v>2025</v>
      </c>
      <c r="C592" s="8" t="s">
        <v>913</v>
      </c>
      <c r="D592" s="8" t="s">
        <v>2026</v>
      </c>
      <c r="E592" s="8"/>
      <c r="F592" s="8" t="s">
        <v>101</v>
      </c>
      <c r="G592" s="8" t="s">
        <v>119</v>
      </c>
      <c r="H592" s="8" t="s">
        <v>206</v>
      </c>
      <c r="I592" s="8" t="s">
        <v>527</v>
      </c>
      <c r="J592" s="8" t="s">
        <v>29</v>
      </c>
      <c r="K592" s="8" t="n">
        <v>3</v>
      </c>
      <c r="L592" s="8" t="n">
        <v>726.34</v>
      </c>
      <c r="M592" s="8"/>
      <c r="N592" s="8" t="n">
        <v>2179.02</v>
      </c>
      <c r="O592" s="8" t="n">
        <v>362.18</v>
      </c>
    </row>
    <row r="593" customFormat="false" ht="15" hidden="false" customHeight="true" outlineLevel="0" collapsed="false">
      <c r="A593" s="8" t="s">
        <v>2027</v>
      </c>
      <c r="B593" s="8" t="s">
        <v>2028</v>
      </c>
      <c r="C593" s="8" t="s">
        <v>1667</v>
      </c>
      <c r="D593" s="8" t="s">
        <v>1047</v>
      </c>
      <c r="E593" s="8" t="s">
        <v>34</v>
      </c>
      <c r="F593" s="8" t="s">
        <v>229</v>
      </c>
      <c r="G593" s="8" t="s">
        <v>119</v>
      </c>
      <c r="H593" s="8" t="s">
        <v>45</v>
      </c>
      <c r="I593" s="8" t="s">
        <v>149</v>
      </c>
      <c r="J593" s="8" t="s">
        <v>64</v>
      </c>
      <c r="K593" s="8"/>
      <c r="L593" s="8" t="n">
        <v>752.36</v>
      </c>
      <c r="M593" s="8"/>
      <c r="N593" s="8" t="n">
        <v>752.36</v>
      </c>
      <c r="O593" s="8" t="n">
        <v>254.23</v>
      </c>
    </row>
    <row r="594" customFormat="false" ht="15" hidden="false" customHeight="true" outlineLevel="0" collapsed="false">
      <c r="A594" s="8" t="s">
        <v>2029</v>
      </c>
      <c r="B594" s="8" t="s">
        <v>1415</v>
      </c>
      <c r="C594" s="8" t="s">
        <v>904</v>
      </c>
      <c r="D594" s="8" t="s">
        <v>164</v>
      </c>
      <c r="E594" s="8" t="s">
        <v>34</v>
      </c>
      <c r="F594" s="8" t="s">
        <v>229</v>
      </c>
      <c r="G594" s="8" t="s">
        <v>119</v>
      </c>
      <c r="H594" s="8" t="s">
        <v>120</v>
      </c>
      <c r="I594" s="8" t="s">
        <v>121</v>
      </c>
      <c r="J594" s="8" t="s">
        <v>64</v>
      </c>
      <c r="K594" s="8" t="n">
        <v>2</v>
      </c>
      <c r="L594" s="8" t="n">
        <v>525.77</v>
      </c>
      <c r="M594" s="8"/>
      <c r="N594" s="8" t="n">
        <v>1051.54</v>
      </c>
      <c r="O594" s="8" t="n">
        <v>321.86</v>
      </c>
    </row>
    <row r="595" customFormat="false" ht="15" hidden="false" customHeight="true" outlineLevel="0" collapsed="false">
      <c r="A595" s="8" t="s">
        <v>2030</v>
      </c>
      <c r="B595" s="8" t="s">
        <v>259</v>
      </c>
      <c r="C595" s="8" t="s">
        <v>2031</v>
      </c>
      <c r="D595" s="8" t="s">
        <v>2032</v>
      </c>
      <c r="E595" s="8" t="s">
        <v>34</v>
      </c>
      <c r="F595" s="8" t="s">
        <v>147</v>
      </c>
      <c r="G595" s="8" t="s">
        <v>54</v>
      </c>
      <c r="H595" s="8" t="s">
        <v>77</v>
      </c>
      <c r="I595" s="8" t="s">
        <v>127</v>
      </c>
      <c r="J595" s="8" t="s">
        <v>39</v>
      </c>
      <c r="K595" s="8" t="n">
        <v>3</v>
      </c>
      <c r="L595" s="8" t="n">
        <v>830.81</v>
      </c>
      <c r="M595" s="8" t="n">
        <v>0.05</v>
      </c>
      <c r="N595" s="8" t="n">
        <v>2367.81</v>
      </c>
      <c r="O595" s="8" t="n">
        <v>-99.63</v>
      </c>
    </row>
    <row r="596" customFormat="false" ht="15" hidden="false" customHeight="true" outlineLevel="0" collapsed="false">
      <c r="A596" s="8" t="s">
        <v>2033</v>
      </c>
      <c r="B596" s="8" t="s">
        <v>2034</v>
      </c>
      <c r="C596" s="8" t="s">
        <v>1676</v>
      </c>
      <c r="D596" s="8" t="s">
        <v>2035</v>
      </c>
      <c r="E596" s="8" t="s">
        <v>52</v>
      </c>
      <c r="F596" s="8" t="s">
        <v>25</v>
      </c>
      <c r="G596" s="8" t="s">
        <v>89</v>
      </c>
      <c r="H596" s="8" t="s">
        <v>114</v>
      </c>
      <c r="I596" s="8" t="s">
        <v>115</v>
      </c>
      <c r="J596" s="8" t="s">
        <v>39</v>
      </c>
      <c r="K596" s="8"/>
      <c r="L596" s="8" t="n">
        <v>439.48</v>
      </c>
      <c r="M596" s="8" t="n">
        <v>0.1</v>
      </c>
      <c r="N596" s="8" t="n">
        <v>395.53</v>
      </c>
      <c r="O596" s="8" t="n">
        <v>104.62</v>
      </c>
    </row>
    <row r="597" customFormat="false" ht="15" hidden="false" customHeight="true" outlineLevel="0" collapsed="false">
      <c r="A597" s="8" t="s">
        <v>2036</v>
      </c>
      <c r="B597" s="8" t="s">
        <v>2037</v>
      </c>
      <c r="C597" s="8" t="s">
        <v>2038</v>
      </c>
      <c r="D597" s="8" t="s">
        <v>2039</v>
      </c>
      <c r="E597" s="8" t="s">
        <v>34</v>
      </c>
      <c r="F597" s="8" t="s">
        <v>25</v>
      </c>
      <c r="G597" s="8" t="s">
        <v>89</v>
      </c>
      <c r="H597" s="8" t="s">
        <v>206</v>
      </c>
      <c r="I597" s="8" t="s">
        <v>404</v>
      </c>
      <c r="J597" s="8" t="s">
        <v>64</v>
      </c>
      <c r="K597" s="8" t="n">
        <v>1</v>
      </c>
      <c r="L597" s="8" t="n">
        <v>528.61</v>
      </c>
      <c r="M597" s="8"/>
      <c r="N597" s="8" t="n">
        <v>528.61</v>
      </c>
      <c r="O597" s="8" t="n">
        <v>137.45</v>
      </c>
    </row>
    <row r="598" customFormat="false" ht="15" hidden="false" customHeight="true" outlineLevel="0" collapsed="false">
      <c r="A598" s="8" t="s">
        <v>2040</v>
      </c>
      <c r="B598" s="8" t="s">
        <v>2041</v>
      </c>
      <c r="C598" s="8" t="s">
        <v>2042</v>
      </c>
      <c r="D598" s="8" t="s">
        <v>60</v>
      </c>
      <c r="E598" s="8"/>
      <c r="F598" s="8" t="s">
        <v>229</v>
      </c>
      <c r="G598" s="8" t="s">
        <v>102</v>
      </c>
      <c r="H598" s="8" t="s">
        <v>148</v>
      </c>
      <c r="I598" s="8" t="s">
        <v>46</v>
      </c>
      <c r="J598" s="8" t="s">
        <v>64</v>
      </c>
      <c r="K598" s="8" t="n">
        <v>2</v>
      </c>
      <c r="L598" s="8" t="n">
        <v>966.78</v>
      </c>
      <c r="M598" s="8" t="n">
        <v>0.05</v>
      </c>
      <c r="N598" s="8" t="n">
        <v>1836.88</v>
      </c>
      <c r="O598" s="8" t="n">
        <v>63.89</v>
      </c>
    </row>
    <row r="599" customFormat="false" ht="15" hidden="false" customHeight="true" outlineLevel="0" collapsed="false">
      <c r="A599" s="8" t="s">
        <v>2043</v>
      </c>
      <c r="B599" s="8" t="s">
        <v>2044</v>
      </c>
      <c r="C599" s="8" t="s">
        <v>2045</v>
      </c>
      <c r="D599" s="8" t="s">
        <v>2046</v>
      </c>
      <c r="E599" s="8" t="s">
        <v>34</v>
      </c>
      <c r="F599" s="8" t="s">
        <v>35</v>
      </c>
      <c r="G599" s="8" t="s">
        <v>62</v>
      </c>
      <c r="H599" s="8" t="s">
        <v>120</v>
      </c>
      <c r="I599" s="8" t="s">
        <v>71</v>
      </c>
      <c r="J599" s="8" t="s">
        <v>47</v>
      </c>
      <c r="K599" s="8" t="n">
        <v>2</v>
      </c>
      <c r="L599" s="8" t="n">
        <v>587.66</v>
      </c>
      <c r="M599" s="8" t="n">
        <v>0.1</v>
      </c>
      <c r="N599" s="8" t="n">
        <v>1057.79</v>
      </c>
      <c r="O599" s="8" t="n">
        <v>57.22</v>
      </c>
    </row>
    <row r="600" customFormat="false" ht="15" hidden="false" customHeight="true" outlineLevel="0" collapsed="false">
      <c r="A600" s="8" t="s">
        <v>2047</v>
      </c>
      <c r="B600" s="8" t="s">
        <v>2048</v>
      </c>
      <c r="C600" s="8" t="s">
        <v>2049</v>
      </c>
      <c r="D600" s="8" t="s">
        <v>868</v>
      </c>
      <c r="E600" s="8"/>
      <c r="F600" s="8" t="s">
        <v>173</v>
      </c>
      <c r="G600" s="8" t="s">
        <v>102</v>
      </c>
      <c r="H600" s="8" t="s">
        <v>55</v>
      </c>
      <c r="I600" s="8" t="s">
        <v>220</v>
      </c>
      <c r="J600" s="8" t="s">
        <v>39</v>
      </c>
      <c r="K600" s="8" t="n">
        <v>2</v>
      </c>
      <c r="L600" s="8" t="n">
        <v>708.68</v>
      </c>
      <c r="M600" s="8" t="n">
        <v>0</v>
      </c>
      <c r="N600" s="8" t="n">
        <v>1417.36</v>
      </c>
      <c r="O600" s="8" t="n">
        <v>354.49</v>
      </c>
    </row>
    <row r="601" customFormat="false" ht="15" hidden="false" customHeight="true" outlineLevel="0" collapsed="false">
      <c r="A601" s="8" t="s">
        <v>2050</v>
      </c>
      <c r="B601" s="8" t="s">
        <v>2051</v>
      </c>
      <c r="C601" s="8" t="s">
        <v>2052</v>
      </c>
      <c r="D601" s="8" t="s">
        <v>2053</v>
      </c>
      <c r="E601" s="8"/>
      <c r="F601" s="8" t="s">
        <v>154</v>
      </c>
      <c r="G601" s="8" t="s">
        <v>182</v>
      </c>
      <c r="H601" s="8" t="s">
        <v>77</v>
      </c>
      <c r="I601" s="8" t="s">
        <v>127</v>
      </c>
      <c r="J601" s="8" t="s">
        <v>47</v>
      </c>
      <c r="K601" s="8" t="n">
        <v>1</v>
      </c>
      <c r="L601" s="8" t="n">
        <v>205</v>
      </c>
      <c r="M601" s="8" t="n">
        <v>0.1</v>
      </c>
      <c r="N601" s="8" t="n">
        <v>184.5</v>
      </c>
      <c r="O601" s="8" t="n">
        <v>31.05</v>
      </c>
    </row>
    <row r="602" customFormat="false" ht="15" hidden="false" customHeight="true" outlineLevel="0" collapsed="false">
      <c r="A602" s="8" t="s">
        <v>2054</v>
      </c>
      <c r="B602" s="8" t="s">
        <v>2055</v>
      </c>
      <c r="C602" s="8" t="s">
        <v>2056</v>
      </c>
      <c r="D602" s="8" t="s">
        <v>2057</v>
      </c>
      <c r="E602" s="8" t="s">
        <v>24</v>
      </c>
      <c r="F602" s="8" t="s">
        <v>44</v>
      </c>
      <c r="G602" s="8" t="s">
        <v>62</v>
      </c>
      <c r="H602" s="8" t="s">
        <v>120</v>
      </c>
      <c r="I602" s="8" t="s">
        <v>78</v>
      </c>
      <c r="J602" s="8" t="s">
        <v>47</v>
      </c>
      <c r="K602" s="8"/>
      <c r="L602" s="8" t="n">
        <v>466.38</v>
      </c>
      <c r="M602" s="8"/>
      <c r="N602" s="8" t="n">
        <v>466.38</v>
      </c>
      <c r="O602" s="8" t="n">
        <v>24.1</v>
      </c>
    </row>
    <row r="603" customFormat="false" ht="15" hidden="false" customHeight="true" outlineLevel="0" collapsed="false">
      <c r="A603" s="8" t="s">
        <v>2058</v>
      </c>
      <c r="B603" s="8" t="s">
        <v>239</v>
      </c>
      <c r="C603" s="8" t="s">
        <v>836</v>
      </c>
      <c r="D603" s="8" t="s">
        <v>1809</v>
      </c>
      <c r="E603" s="8" t="s">
        <v>34</v>
      </c>
      <c r="F603" s="8" t="s">
        <v>101</v>
      </c>
      <c r="G603" s="8" t="s">
        <v>119</v>
      </c>
      <c r="H603" s="8" t="s">
        <v>37</v>
      </c>
      <c r="I603" s="8" t="s">
        <v>84</v>
      </c>
      <c r="J603" s="8" t="s">
        <v>29</v>
      </c>
      <c r="K603" s="8"/>
      <c r="L603" s="8" t="n">
        <v>753.96</v>
      </c>
      <c r="M603" s="8" t="n">
        <v>0.1</v>
      </c>
      <c r="N603" s="8" t="n">
        <v>678.56</v>
      </c>
      <c r="O603" s="8" t="n">
        <v>-21.8</v>
      </c>
    </row>
    <row r="604" customFormat="false" ht="15" hidden="false" customHeight="true" outlineLevel="0" collapsed="false">
      <c r="A604" s="8" t="s">
        <v>2059</v>
      </c>
      <c r="B604" s="8" t="s">
        <v>696</v>
      </c>
      <c r="C604" s="8" t="s">
        <v>2055</v>
      </c>
      <c r="D604" s="8" t="s">
        <v>2060</v>
      </c>
      <c r="E604" s="8" t="s">
        <v>24</v>
      </c>
      <c r="F604" s="8" t="s">
        <v>200</v>
      </c>
      <c r="G604" s="8" t="s">
        <v>82</v>
      </c>
      <c r="H604" s="8" t="s">
        <v>70</v>
      </c>
      <c r="I604" s="8" t="s">
        <v>121</v>
      </c>
      <c r="J604" s="8" t="s">
        <v>64</v>
      </c>
      <c r="K604" s="8" t="n">
        <v>4</v>
      </c>
      <c r="L604" s="8" t="n">
        <v>788.16</v>
      </c>
      <c r="M604" s="8" t="n">
        <v>0.05</v>
      </c>
      <c r="N604" s="8" t="n">
        <v>2995.01</v>
      </c>
      <c r="O604" s="8" t="n">
        <v>989.58</v>
      </c>
    </row>
    <row r="605" customFormat="false" ht="15" hidden="false" customHeight="true" outlineLevel="0" collapsed="false">
      <c r="A605" s="8" t="s">
        <v>2061</v>
      </c>
      <c r="B605" s="8" t="s">
        <v>1958</v>
      </c>
      <c r="C605" s="8" t="s">
        <v>2062</v>
      </c>
      <c r="D605" s="8"/>
      <c r="E605" s="8" t="s">
        <v>34</v>
      </c>
      <c r="F605" s="8" t="s">
        <v>200</v>
      </c>
      <c r="G605" s="8" t="s">
        <v>26</v>
      </c>
      <c r="H605" s="8" t="s">
        <v>114</v>
      </c>
      <c r="I605" s="8" t="s">
        <v>96</v>
      </c>
      <c r="J605" s="8" t="s">
        <v>47</v>
      </c>
      <c r="K605" s="8" t="n">
        <v>5</v>
      </c>
      <c r="L605" s="8" t="n">
        <v>946.61</v>
      </c>
      <c r="M605" s="8" t="n">
        <v>0.05</v>
      </c>
      <c r="N605" s="8" t="n">
        <v>4496.4</v>
      </c>
      <c r="O605" s="8" t="n">
        <v>126.14</v>
      </c>
    </row>
    <row r="606" customFormat="false" ht="15" hidden="false" customHeight="true" outlineLevel="0" collapsed="false">
      <c r="A606" s="8" t="s">
        <v>2063</v>
      </c>
      <c r="B606" s="8" t="s">
        <v>2064</v>
      </c>
      <c r="C606" s="8" t="s">
        <v>2065</v>
      </c>
      <c r="D606" s="8"/>
      <c r="E606" s="8"/>
      <c r="F606" s="8" t="s">
        <v>229</v>
      </c>
      <c r="G606" s="8" t="s">
        <v>119</v>
      </c>
      <c r="H606" s="8" t="s">
        <v>70</v>
      </c>
      <c r="I606" s="8" t="s">
        <v>121</v>
      </c>
      <c r="J606" s="8" t="s">
        <v>47</v>
      </c>
      <c r="K606" s="8" t="n">
        <v>1</v>
      </c>
      <c r="L606" s="8" t="n">
        <v>1086.57</v>
      </c>
      <c r="M606" s="8"/>
      <c r="N606" s="8" t="n">
        <v>1086.57</v>
      </c>
      <c r="O606" s="8" t="n">
        <v>-26.52</v>
      </c>
    </row>
    <row r="607" customFormat="false" ht="15" hidden="false" customHeight="true" outlineLevel="0" collapsed="false">
      <c r="A607" s="8" t="s">
        <v>2066</v>
      </c>
      <c r="B607" s="8" t="s">
        <v>2067</v>
      </c>
      <c r="C607" s="8" t="s">
        <v>2068</v>
      </c>
      <c r="D607" s="8" t="s">
        <v>2069</v>
      </c>
      <c r="E607" s="8"/>
      <c r="F607" s="8" t="s">
        <v>25</v>
      </c>
      <c r="G607" s="8" t="s">
        <v>82</v>
      </c>
      <c r="H607" s="8" t="s">
        <v>245</v>
      </c>
      <c r="I607" s="8" t="s">
        <v>297</v>
      </c>
      <c r="J607" s="8" t="s">
        <v>47</v>
      </c>
      <c r="K607" s="8" t="n">
        <v>1</v>
      </c>
      <c r="L607" s="8" t="n">
        <v>337.66</v>
      </c>
      <c r="M607" s="8" t="n">
        <v>0</v>
      </c>
      <c r="N607" s="8" t="n">
        <v>337.66</v>
      </c>
      <c r="O607" s="8" t="n">
        <v>108.53</v>
      </c>
    </row>
    <row r="608" customFormat="false" ht="15" hidden="false" customHeight="true" outlineLevel="0" collapsed="false">
      <c r="A608" s="8" t="s">
        <v>2070</v>
      </c>
      <c r="B608" s="8" t="s">
        <v>2071</v>
      </c>
      <c r="C608" s="8" t="s">
        <v>2072</v>
      </c>
      <c r="D608" s="8"/>
      <c r="E608" s="8" t="s">
        <v>52</v>
      </c>
      <c r="F608" s="8" t="s">
        <v>69</v>
      </c>
      <c r="G608" s="8" t="s">
        <v>26</v>
      </c>
      <c r="H608" s="8" t="s">
        <v>70</v>
      </c>
      <c r="I608" s="8" t="s">
        <v>78</v>
      </c>
      <c r="J608" s="8" t="s">
        <v>47</v>
      </c>
      <c r="K608" s="8" t="n">
        <v>5</v>
      </c>
      <c r="L608" s="8" t="n">
        <v>323.61</v>
      </c>
      <c r="M608" s="8"/>
      <c r="N608" s="8" t="n">
        <v>1618.05</v>
      </c>
      <c r="O608" s="8" t="n">
        <v>253.48</v>
      </c>
    </row>
    <row r="609" customFormat="false" ht="15" hidden="false" customHeight="true" outlineLevel="0" collapsed="false">
      <c r="A609" s="8" t="s">
        <v>2073</v>
      </c>
      <c r="B609" s="8" t="s">
        <v>2074</v>
      </c>
      <c r="C609" s="8" t="s">
        <v>2075</v>
      </c>
      <c r="D609" s="8" t="s">
        <v>2076</v>
      </c>
      <c r="E609" s="8" t="s">
        <v>34</v>
      </c>
      <c r="F609" s="8" t="s">
        <v>35</v>
      </c>
      <c r="G609" s="8" t="s">
        <v>76</v>
      </c>
      <c r="H609" s="8" t="s">
        <v>55</v>
      </c>
      <c r="I609" s="8" t="s">
        <v>104</v>
      </c>
      <c r="J609" s="8" t="s">
        <v>29</v>
      </c>
      <c r="K609" s="8" t="n">
        <v>2</v>
      </c>
      <c r="L609" s="8" t="n">
        <v>444.39</v>
      </c>
      <c r="M609" s="8" t="n">
        <v>0.1</v>
      </c>
      <c r="N609" s="8" t="n">
        <v>799.9</v>
      </c>
      <c r="O609" s="8" t="n">
        <v>-63.44</v>
      </c>
    </row>
    <row r="610" customFormat="false" ht="15" hidden="false" customHeight="true" outlineLevel="0" collapsed="false">
      <c r="A610" s="8" t="s">
        <v>2077</v>
      </c>
      <c r="B610" s="8" t="s">
        <v>2078</v>
      </c>
      <c r="C610" s="8" t="s">
        <v>2079</v>
      </c>
      <c r="D610" s="8" t="s">
        <v>2080</v>
      </c>
      <c r="E610" s="8" t="s">
        <v>34</v>
      </c>
      <c r="F610" s="8" t="s">
        <v>61</v>
      </c>
      <c r="G610" s="8" t="s">
        <v>36</v>
      </c>
      <c r="H610" s="8" t="s">
        <v>191</v>
      </c>
      <c r="I610" s="8" t="s">
        <v>127</v>
      </c>
      <c r="J610" s="8" t="s">
        <v>64</v>
      </c>
      <c r="K610" s="8"/>
      <c r="L610" s="8" t="n">
        <v>528.12</v>
      </c>
      <c r="M610" s="8" t="n">
        <v>0.2</v>
      </c>
      <c r="N610" s="8" t="n">
        <v>422.5</v>
      </c>
      <c r="O610" s="8" t="n">
        <v>113.92</v>
      </c>
    </row>
    <row r="611" customFormat="false" ht="15" hidden="false" customHeight="true" outlineLevel="0" collapsed="false">
      <c r="A611" s="8" t="s">
        <v>2081</v>
      </c>
      <c r="B611" s="8" t="s">
        <v>2082</v>
      </c>
      <c r="C611" s="8" t="s">
        <v>2083</v>
      </c>
      <c r="D611" s="8" t="s">
        <v>346</v>
      </c>
      <c r="E611" s="8"/>
      <c r="F611" s="8" t="s">
        <v>126</v>
      </c>
      <c r="G611" s="8" t="s">
        <v>89</v>
      </c>
      <c r="H611" s="8" t="s">
        <v>206</v>
      </c>
      <c r="I611" s="8" t="s">
        <v>84</v>
      </c>
      <c r="J611" s="8" t="s">
        <v>47</v>
      </c>
      <c r="K611" s="8" t="n">
        <v>1</v>
      </c>
      <c r="L611" s="8" t="n">
        <v>860.37</v>
      </c>
      <c r="M611" s="8" t="n">
        <v>0.2</v>
      </c>
      <c r="N611" s="8" t="n">
        <v>688.3</v>
      </c>
      <c r="O611" s="8" t="n">
        <v>169.28</v>
      </c>
    </row>
    <row r="612" customFormat="false" ht="15" hidden="false" customHeight="true" outlineLevel="0" collapsed="false">
      <c r="A612" s="8" t="s">
        <v>2084</v>
      </c>
      <c r="B612" s="8" t="s">
        <v>2085</v>
      </c>
      <c r="C612" s="8" t="s">
        <v>2086</v>
      </c>
      <c r="D612" s="8" t="s">
        <v>2087</v>
      </c>
      <c r="E612" s="8"/>
      <c r="F612" s="8" t="s">
        <v>372</v>
      </c>
      <c r="G612" s="8" t="s">
        <v>215</v>
      </c>
      <c r="H612" s="8" t="s">
        <v>103</v>
      </c>
      <c r="I612" s="8" t="s">
        <v>56</v>
      </c>
      <c r="J612" s="8" t="s">
        <v>64</v>
      </c>
      <c r="K612" s="8"/>
      <c r="L612" s="8" t="n">
        <v>735.47</v>
      </c>
      <c r="M612" s="8"/>
      <c r="N612" s="8" t="n">
        <v>735.47</v>
      </c>
      <c r="O612" s="8" t="n">
        <v>-57.6</v>
      </c>
    </row>
    <row r="613" customFormat="false" ht="15" hidden="false" customHeight="true" outlineLevel="0" collapsed="false">
      <c r="A613" s="8" t="s">
        <v>2088</v>
      </c>
      <c r="B613" s="8" t="s">
        <v>2089</v>
      </c>
      <c r="C613" s="8" t="s">
        <v>606</v>
      </c>
      <c r="D613" s="8" t="s">
        <v>1651</v>
      </c>
      <c r="E613" s="8" t="s">
        <v>24</v>
      </c>
      <c r="F613" s="8" t="s">
        <v>173</v>
      </c>
      <c r="G613" s="8" t="s">
        <v>182</v>
      </c>
      <c r="H613" s="8" t="s">
        <v>206</v>
      </c>
      <c r="I613" s="8" t="s">
        <v>38</v>
      </c>
      <c r="J613" s="8" t="s">
        <v>64</v>
      </c>
      <c r="K613" s="8" t="n">
        <v>2</v>
      </c>
      <c r="L613" s="8" t="n">
        <v>681.39</v>
      </c>
      <c r="M613" s="8" t="n">
        <v>0.1</v>
      </c>
      <c r="N613" s="8" t="n">
        <v>1226.5</v>
      </c>
      <c r="O613" s="8" t="n">
        <v>368.87</v>
      </c>
    </row>
    <row r="614" customFormat="false" ht="15" hidden="false" customHeight="true" outlineLevel="0" collapsed="false">
      <c r="A614" s="8" t="s">
        <v>2090</v>
      </c>
      <c r="B614" s="8" t="s">
        <v>680</v>
      </c>
      <c r="C614" s="8" t="s">
        <v>2091</v>
      </c>
      <c r="D614" s="8" t="s">
        <v>952</v>
      </c>
      <c r="E614" s="8"/>
      <c r="F614" s="8" t="s">
        <v>154</v>
      </c>
      <c r="G614" s="8" t="s">
        <v>102</v>
      </c>
      <c r="H614" s="8" t="s">
        <v>70</v>
      </c>
      <c r="I614" s="8" t="s">
        <v>121</v>
      </c>
      <c r="J614" s="8" t="s">
        <v>29</v>
      </c>
      <c r="K614" s="8" t="n">
        <v>2</v>
      </c>
      <c r="L614" s="8" t="n">
        <v>384.41</v>
      </c>
      <c r="M614" s="8" t="n">
        <v>0.2</v>
      </c>
      <c r="N614" s="8" t="n">
        <v>615.06</v>
      </c>
      <c r="O614" s="8" t="n">
        <v>22.45</v>
      </c>
    </row>
    <row r="615" customFormat="false" ht="1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customFormat="false" ht="15" hidden="false" customHeight="true" outlineLevel="0" collapsed="false">
      <c r="A616" s="8" t="s">
        <v>2092</v>
      </c>
      <c r="B616" s="8" t="s">
        <v>502</v>
      </c>
      <c r="C616" s="8" t="s">
        <v>503</v>
      </c>
      <c r="D616" s="8" t="s">
        <v>2093</v>
      </c>
      <c r="E616" s="8" t="s">
        <v>52</v>
      </c>
      <c r="F616" s="8" t="s">
        <v>35</v>
      </c>
      <c r="G616" s="8" t="s">
        <v>76</v>
      </c>
      <c r="H616" s="8" t="s">
        <v>37</v>
      </c>
      <c r="I616" s="8" t="s">
        <v>84</v>
      </c>
      <c r="J616" s="8" t="s">
        <v>64</v>
      </c>
      <c r="K616" s="8" t="n">
        <v>1</v>
      </c>
      <c r="L616" s="8" t="n">
        <v>787.64</v>
      </c>
      <c r="M616" s="8" t="n">
        <v>0.2</v>
      </c>
      <c r="N616" s="8" t="n">
        <v>630.11</v>
      </c>
      <c r="O616" s="8" t="n">
        <v>195.2</v>
      </c>
    </row>
    <row r="617" customFormat="false" ht="15" hidden="false" customHeight="true" outlineLevel="0" collapsed="false">
      <c r="A617" s="8" t="s">
        <v>2094</v>
      </c>
      <c r="B617" s="8" t="s">
        <v>2095</v>
      </c>
      <c r="C617" s="8" t="s">
        <v>2096</v>
      </c>
      <c r="D617" s="8" t="s">
        <v>625</v>
      </c>
      <c r="E617" s="8" t="s">
        <v>52</v>
      </c>
      <c r="F617" s="8" t="s">
        <v>154</v>
      </c>
      <c r="G617" s="8" t="s">
        <v>182</v>
      </c>
      <c r="H617" s="8" t="s">
        <v>280</v>
      </c>
      <c r="I617" s="8" t="s">
        <v>96</v>
      </c>
      <c r="J617" s="8" t="s">
        <v>47</v>
      </c>
      <c r="K617" s="8" t="n">
        <v>4</v>
      </c>
      <c r="L617" s="8" t="n">
        <v>391.42</v>
      </c>
      <c r="M617" s="8" t="n">
        <v>0</v>
      </c>
      <c r="N617" s="8" t="n">
        <v>1565.68</v>
      </c>
      <c r="O617" s="8" t="n">
        <v>283.01</v>
      </c>
    </row>
    <row r="618" customFormat="false" ht="15" hidden="false" customHeight="true" outlineLevel="0" collapsed="false">
      <c r="A618" s="8" t="s">
        <v>2097</v>
      </c>
      <c r="B618" s="8" t="s">
        <v>2098</v>
      </c>
      <c r="C618" s="8" t="s">
        <v>1708</v>
      </c>
      <c r="D618" s="8" t="s">
        <v>1023</v>
      </c>
      <c r="E618" s="8" t="s">
        <v>34</v>
      </c>
      <c r="F618" s="8" t="s">
        <v>126</v>
      </c>
      <c r="G618" s="8" t="s">
        <v>26</v>
      </c>
      <c r="H618" s="8" t="s">
        <v>148</v>
      </c>
      <c r="I618" s="8" t="s">
        <v>46</v>
      </c>
      <c r="J618" s="8" t="s">
        <v>39</v>
      </c>
      <c r="K618" s="8" t="n">
        <v>1</v>
      </c>
      <c r="L618" s="8" t="n">
        <v>923.07</v>
      </c>
      <c r="M618" s="8" t="n">
        <v>0.1</v>
      </c>
      <c r="N618" s="8" t="n">
        <v>830.76</v>
      </c>
      <c r="O618" s="8" t="n">
        <v>32.09</v>
      </c>
    </row>
    <row r="619" customFormat="false" ht="15" hidden="false" customHeight="true" outlineLevel="0" collapsed="false">
      <c r="A619" s="8" t="s">
        <v>2099</v>
      </c>
      <c r="B619" s="8" t="s">
        <v>2100</v>
      </c>
      <c r="C619" s="8" t="s">
        <v>1097</v>
      </c>
      <c r="D619" s="8" t="s">
        <v>2004</v>
      </c>
      <c r="E619" s="8" t="s">
        <v>52</v>
      </c>
      <c r="F619" s="8" t="s">
        <v>25</v>
      </c>
      <c r="G619" s="8" t="s">
        <v>82</v>
      </c>
      <c r="H619" s="8" t="s">
        <v>114</v>
      </c>
      <c r="I619" s="8" t="s">
        <v>109</v>
      </c>
      <c r="J619" s="8" t="s">
        <v>39</v>
      </c>
      <c r="K619" s="8" t="n">
        <v>3</v>
      </c>
      <c r="L619" s="8" t="n">
        <v>1029.76</v>
      </c>
      <c r="M619" s="8" t="n">
        <v>0.05</v>
      </c>
      <c r="N619" s="8" t="n">
        <v>2934.82</v>
      </c>
      <c r="O619" s="8" t="n">
        <v>142.69</v>
      </c>
    </row>
    <row r="620" customFormat="false" ht="15" hidden="false" customHeight="true" outlineLevel="0" collapsed="false">
      <c r="A620" s="8" t="s">
        <v>2101</v>
      </c>
      <c r="B620" s="8" t="s">
        <v>2102</v>
      </c>
      <c r="C620" s="8" t="s">
        <v>2103</v>
      </c>
      <c r="D620" s="8" t="s">
        <v>1700</v>
      </c>
      <c r="E620" s="8"/>
      <c r="F620" s="8" t="s">
        <v>44</v>
      </c>
      <c r="G620" s="8" t="s">
        <v>62</v>
      </c>
      <c r="H620" s="8" t="s">
        <v>191</v>
      </c>
      <c r="I620" s="8" t="s">
        <v>78</v>
      </c>
      <c r="J620" s="8" t="s">
        <v>64</v>
      </c>
      <c r="K620" s="8"/>
      <c r="L620" s="8" t="n">
        <v>176.15</v>
      </c>
      <c r="M620" s="8"/>
      <c r="N620" s="8" t="n">
        <v>176.15</v>
      </c>
      <c r="O620" s="8" t="n">
        <v>-1.02</v>
      </c>
    </row>
    <row r="621" customFormat="false" ht="15" hidden="false" customHeight="true" outlineLevel="0" collapsed="false">
      <c r="A621" s="8" t="s">
        <v>936</v>
      </c>
      <c r="B621" s="8" t="s">
        <v>937</v>
      </c>
      <c r="C621" s="8" t="s">
        <v>938</v>
      </c>
      <c r="D621" s="8" t="s">
        <v>530</v>
      </c>
      <c r="E621" s="8" t="s">
        <v>24</v>
      </c>
      <c r="F621" s="8" t="s">
        <v>35</v>
      </c>
      <c r="G621" s="8" t="s">
        <v>36</v>
      </c>
      <c r="H621" s="8" t="s">
        <v>77</v>
      </c>
      <c r="I621" s="8" t="s">
        <v>78</v>
      </c>
      <c r="J621" s="8" t="s">
        <v>29</v>
      </c>
      <c r="K621" s="8" t="n">
        <v>4</v>
      </c>
      <c r="L621" s="8" t="n">
        <v>44.99</v>
      </c>
      <c r="M621" s="8" t="n">
        <v>0</v>
      </c>
      <c r="N621" s="8" t="n">
        <v>179.96</v>
      </c>
      <c r="O621" s="8" t="n">
        <v>41.23</v>
      </c>
    </row>
    <row r="622" customFormat="false" ht="15" hidden="false" customHeight="true" outlineLevel="0" collapsed="false">
      <c r="A622" s="8" t="s">
        <v>2104</v>
      </c>
      <c r="B622" s="8" t="s">
        <v>2105</v>
      </c>
      <c r="C622" s="8" t="s">
        <v>2106</v>
      </c>
      <c r="D622" s="8" t="s">
        <v>2107</v>
      </c>
      <c r="E622" s="8"/>
      <c r="F622" s="8" t="s">
        <v>53</v>
      </c>
      <c r="G622" s="8" t="s">
        <v>54</v>
      </c>
      <c r="H622" s="8" t="s">
        <v>206</v>
      </c>
      <c r="I622" s="8" t="s">
        <v>84</v>
      </c>
      <c r="J622" s="8" t="s">
        <v>39</v>
      </c>
      <c r="K622" s="8" t="n">
        <v>2</v>
      </c>
      <c r="L622" s="8" t="n">
        <v>841.85</v>
      </c>
      <c r="M622" s="8" t="n">
        <v>0.15</v>
      </c>
      <c r="N622" s="8" t="n">
        <v>1431.14</v>
      </c>
      <c r="O622" s="8" t="n">
        <v>424.25</v>
      </c>
    </row>
    <row r="623" customFormat="false" ht="15" hidden="false" customHeight="true" outlineLevel="0" collapsed="false">
      <c r="A623" s="8" t="s">
        <v>2108</v>
      </c>
      <c r="B623" s="8" t="s">
        <v>2109</v>
      </c>
      <c r="C623" s="8" t="s">
        <v>1280</v>
      </c>
      <c r="D623" s="8" t="s">
        <v>2110</v>
      </c>
      <c r="E623" s="8"/>
      <c r="F623" s="8" t="s">
        <v>101</v>
      </c>
      <c r="G623" s="8" t="s">
        <v>119</v>
      </c>
      <c r="H623" s="8" t="s">
        <v>132</v>
      </c>
      <c r="I623" s="8" t="s">
        <v>133</v>
      </c>
      <c r="J623" s="8" t="s">
        <v>64</v>
      </c>
      <c r="K623" s="8" t="n">
        <v>1</v>
      </c>
      <c r="L623" s="8" t="n">
        <v>187.86</v>
      </c>
      <c r="M623" s="8" t="n">
        <v>0</v>
      </c>
      <c r="N623" s="8" t="n">
        <v>187.86</v>
      </c>
      <c r="O623" s="8" t="n">
        <v>59.5</v>
      </c>
    </row>
    <row r="624" customFormat="false" ht="15" hidden="false" customHeight="true" outlineLevel="0" collapsed="false">
      <c r="A624" s="8" t="s">
        <v>2111</v>
      </c>
      <c r="B624" s="8" t="s">
        <v>1542</v>
      </c>
      <c r="C624" s="8" t="s">
        <v>1950</v>
      </c>
      <c r="D624" s="8" t="s">
        <v>2112</v>
      </c>
      <c r="E624" s="8" t="s">
        <v>34</v>
      </c>
      <c r="F624" s="8" t="s">
        <v>229</v>
      </c>
      <c r="G624" s="8" t="s">
        <v>102</v>
      </c>
      <c r="H624" s="8" t="s">
        <v>55</v>
      </c>
      <c r="I624" s="8" t="s">
        <v>56</v>
      </c>
      <c r="J624" s="8" t="s">
        <v>47</v>
      </c>
      <c r="K624" s="8" t="n">
        <v>3</v>
      </c>
      <c r="L624" s="8" t="n">
        <v>77.73</v>
      </c>
      <c r="M624" s="8" t="n">
        <v>0.05</v>
      </c>
      <c r="N624" s="8" t="n">
        <v>221.53</v>
      </c>
      <c r="O624" s="8" t="n">
        <v>56.6</v>
      </c>
    </row>
    <row r="625" customFormat="false" ht="15" hidden="false" customHeight="true" outlineLevel="0" collapsed="false">
      <c r="A625" s="8" t="s">
        <v>2113</v>
      </c>
      <c r="B625" s="8" t="s">
        <v>1184</v>
      </c>
      <c r="C625" s="8" t="s">
        <v>2114</v>
      </c>
      <c r="D625" s="8" t="s">
        <v>1939</v>
      </c>
      <c r="E625" s="8" t="s">
        <v>24</v>
      </c>
      <c r="F625" s="8" t="s">
        <v>25</v>
      </c>
      <c r="G625" s="8" t="s">
        <v>26</v>
      </c>
      <c r="H625" s="8" t="s">
        <v>359</v>
      </c>
      <c r="I625" s="8" t="s">
        <v>56</v>
      </c>
      <c r="J625" s="8" t="s">
        <v>64</v>
      </c>
      <c r="K625" s="8" t="n">
        <v>4</v>
      </c>
      <c r="L625" s="8" t="n">
        <v>1177.65</v>
      </c>
      <c r="M625" s="8" t="n">
        <v>0.15</v>
      </c>
      <c r="N625" s="8" t="n">
        <v>4004.01</v>
      </c>
      <c r="O625" s="8" t="n">
        <v>973.07</v>
      </c>
    </row>
    <row r="626" customFormat="false" ht="15" hidden="false" customHeight="true" outlineLevel="0" collapsed="false">
      <c r="A626" s="8" t="s">
        <v>2115</v>
      </c>
      <c r="B626" s="8" t="s">
        <v>2116</v>
      </c>
      <c r="C626" s="8" t="s">
        <v>2117</v>
      </c>
      <c r="D626" s="8" t="s">
        <v>1616</v>
      </c>
      <c r="E626" s="8" t="s">
        <v>52</v>
      </c>
      <c r="F626" s="8" t="s">
        <v>25</v>
      </c>
      <c r="G626" s="8" t="s">
        <v>26</v>
      </c>
      <c r="H626" s="8" t="s">
        <v>142</v>
      </c>
      <c r="I626" s="8" t="s">
        <v>404</v>
      </c>
      <c r="J626" s="8" t="s">
        <v>29</v>
      </c>
      <c r="K626" s="8" t="n">
        <v>4</v>
      </c>
      <c r="L626" s="8" t="n">
        <v>602.14</v>
      </c>
      <c r="M626" s="8"/>
      <c r="N626" s="8" t="n">
        <v>2408.56</v>
      </c>
      <c r="O626" s="8" t="n">
        <v>263.08</v>
      </c>
    </row>
    <row r="627" customFormat="false" ht="15" hidden="false" customHeight="true" outlineLevel="0" collapsed="false">
      <c r="A627" s="8" t="s">
        <v>2118</v>
      </c>
      <c r="B627" s="8" t="s">
        <v>687</v>
      </c>
      <c r="C627" s="8" t="s">
        <v>1301</v>
      </c>
      <c r="D627" s="8" t="s">
        <v>1199</v>
      </c>
      <c r="E627" s="8" t="s">
        <v>52</v>
      </c>
      <c r="F627" s="8" t="s">
        <v>69</v>
      </c>
      <c r="G627" s="8" t="s">
        <v>82</v>
      </c>
      <c r="H627" s="8" t="s">
        <v>142</v>
      </c>
      <c r="I627" s="8" t="s">
        <v>527</v>
      </c>
      <c r="J627" s="8" t="s">
        <v>39</v>
      </c>
      <c r="K627" s="8" t="n">
        <v>3</v>
      </c>
      <c r="L627" s="8" t="n">
        <v>517.09</v>
      </c>
      <c r="M627" s="8" t="n">
        <v>0.2</v>
      </c>
      <c r="N627" s="8" t="n">
        <v>1241.02</v>
      </c>
      <c r="O627" s="8" t="n">
        <v>18.74</v>
      </c>
    </row>
    <row r="628" customFormat="false" ht="15" hidden="false" customHeight="true" outlineLevel="0" collapsed="false">
      <c r="A628" s="8" t="s">
        <v>2119</v>
      </c>
      <c r="B628" s="8" t="s">
        <v>2120</v>
      </c>
      <c r="C628" s="8" t="s">
        <v>152</v>
      </c>
      <c r="D628" s="8" t="s">
        <v>2121</v>
      </c>
      <c r="E628" s="8" t="s">
        <v>34</v>
      </c>
      <c r="F628" s="8" t="s">
        <v>69</v>
      </c>
      <c r="G628" s="8" t="s">
        <v>26</v>
      </c>
      <c r="H628" s="8" t="s">
        <v>103</v>
      </c>
      <c r="I628" s="8" t="s">
        <v>220</v>
      </c>
      <c r="J628" s="8" t="s">
        <v>64</v>
      </c>
      <c r="K628" s="8" t="n">
        <v>1</v>
      </c>
      <c r="L628" s="8" t="n">
        <v>210.33</v>
      </c>
      <c r="M628" s="8"/>
      <c r="N628" s="8" t="n">
        <v>210.33</v>
      </c>
      <c r="O628" s="8" t="n">
        <v>69.37</v>
      </c>
    </row>
    <row r="629" customFormat="false" ht="15" hidden="false" customHeight="true" outlineLevel="0" collapsed="false">
      <c r="A629" s="8" t="s">
        <v>2122</v>
      </c>
      <c r="B629" s="8" t="s">
        <v>2123</v>
      </c>
      <c r="C629" s="8" t="s">
        <v>491</v>
      </c>
      <c r="D629" s="8" t="s">
        <v>125</v>
      </c>
      <c r="E629" s="8" t="s">
        <v>52</v>
      </c>
      <c r="F629" s="8" t="s">
        <v>25</v>
      </c>
      <c r="G629" s="8" t="s">
        <v>89</v>
      </c>
      <c r="H629" s="8" t="s">
        <v>55</v>
      </c>
      <c r="I629" s="8" t="s">
        <v>220</v>
      </c>
      <c r="J629" s="8" t="s">
        <v>39</v>
      </c>
      <c r="K629" s="8" t="n">
        <v>2</v>
      </c>
      <c r="L629" s="8" t="n">
        <v>994.32</v>
      </c>
      <c r="M629" s="8" t="n">
        <v>0.05</v>
      </c>
      <c r="N629" s="8" t="n">
        <v>1889.21</v>
      </c>
      <c r="O629" s="8" t="n">
        <v>586.73</v>
      </c>
    </row>
    <row r="630" customFormat="false" ht="15" hidden="false" customHeight="true" outlineLevel="0" collapsed="false">
      <c r="A630" s="8" t="s">
        <v>2124</v>
      </c>
      <c r="B630" s="8" t="s">
        <v>2125</v>
      </c>
      <c r="C630" s="8" t="s">
        <v>1976</v>
      </c>
      <c r="D630" s="8" t="s">
        <v>664</v>
      </c>
      <c r="E630" s="8" t="s">
        <v>34</v>
      </c>
      <c r="F630" s="8" t="s">
        <v>154</v>
      </c>
      <c r="G630" s="8" t="s">
        <v>119</v>
      </c>
      <c r="H630" s="8" t="s">
        <v>132</v>
      </c>
      <c r="I630" s="8" t="s">
        <v>104</v>
      </c>
      <c r="J630" s="8" t="s">
        <v>39</v>
      </c>
      <c r="K630" s="8" t="n">
        <v>2</v>
      </c>
      <c r="L630" s="8" t="n">
        <v>548.75</v>
      </c>
      <c r="M630" s="8"/>
      <c r="N630" s="8" t="n">
        <v>1097.5</v>
      </c>
      <c r="O630" s="8" t="n">
        <v>298.47</v>
      </c>
    </row>
    <row r="631" customFormat="false" ht="15" hidden="false" customHeight="true" outlineLevel="0" collapsed="false">
      <c r="A631" s="8" t="s">
        <v>2126</v>
      </c>
      <c r="B631" s="8" t="s">
        <v>787</v>
      </c>
      <c r="C631" s="8" t="s">
        <v>2127</v>
      </c>
      <c r="D631" s="8" t="s">
        <v>2128</v>
      </c>
      <c r="E631" s="8"/>
      <c r="F631" s="8" t="s">
        <v>35</v>
      </c>
      <c r="G631" s="8" t="s">
        <v>62</v>
      </c>
      <c r="H631" s="8" t="s">
        <v>27</v>
      </c>
      <c r="I631" s="8" t="s">
        <v>160</v>
      </c>
      <c r="J631" s="8" t="s">
        <v>39</v>
      </c>
      <c r="K631" s="8" t="n">
        <v>2</v>
      </c>
      <c r="L631" s="8" t="n">
        <v>559.74</v>
      </c>
      <c r="M631" s="8"/>
      <c r="N631" s="8" t="n">
        <v>1119.48</v>
      </c>
      <c r="O631" s="8" t="n">
        <v>-23.12</v>
      </c>
    </row>
    <row r="632" customFormat="false" ht="15" hidden="false" customHeight="true" outlineLevel="0" collapsed="false">
      <c r="A632" s="8" t="s">
        <v>2129</v>
      </c>
      <c r="B632" s="8" t="s">
        <v>1313</v>
      </c>
      <c r="C632" s="8" t="s">
        <v>2130</v>
      </c>
      <c r="D632" s="8" t="s">
        <v>2131</v>
      </c>
      <c r="E632" s="8" t="s">
        <v>52</v>
      </c>
      <c r="F632" s="8" t="s">
        <v>35</v>
      </c>
      <c r="G632" s="8" t="s">
        <v>76</v>
      </c>
      <c r="H632" s="8" t="s">
        <v>245</v>
      </c>
      <c r="I632" s="8" t="s">
        <v>109</v>
      </c>
      <c r="J632" s="8" t="s">
        <v>39</v>
      </c>
      <c r="K632" s="8" t="n">
        <v>4</v>
      </c>
      <c r="L632" s="8" t="n">
        <v>1122.01</v>
      </c>
      <c r="M632" s="8" t="n">
        <v>0.05</v>
      </c>
      <c r="N632" s="8" t="n">
        <v>4263.64</v>
      </c>
      <c r="O632" s="8" t="n">
        <v>772.83</v>
      </c>
    </row>
    <row r="633" customFormat="false" ht="15" hidden="false" customHeight="true" outlineLevel="0" collapsed="false">
      <c r="A633" s="8" t="s">
        <v>2132</v>
      </c>
      <c r="B633" s="8" t="s">
        <v>2042</v>
      </c>
      <c r="C633" s="8" t="s">
        <v>2133</v>
      </c>
      <c r="D633" s="8" t="s">
        <v>1569</v>
      </c>
      <c r="E633" s="8" t="s">
        <v>52</v>
      </c>
      <c r="F633" s="8" t="s">
        <v>35</v>
      </c>
      <c r="G633" s="8" t="s">
        <v>62</v>
      </c>
      <c r="H633" s="8" t="s">
        <v>83</v>
      </c>
      <c r="I633" s="8" t="s">
        <v>38</v>
      </c>
      <c r="J633" s="8" t="s">
        <v>47</v>
      </c>
      <c r="K633" s="8"/>
      <c r="L633" s="8" t="n">
        <v>930.82</v>
      </c>
      <c r="M633" s="8" t="n">
        <v>0.15</v>
      </c>
      <c r="N633" s="8" t="n">
        <v>791.2</v>
      </c>
      <c r="O633" s="8" t="n">
        <v>145.64</v>
      </c>
    </row>
    <row r="634" customFormat="false" ht="15" hidden="false" customHeight="true" outlineLevel="0" collapsed="false">
      <c r="A634" s="8" t="s">
        <v>2134</v>
      </c>
      <c r="B634" s="8" t="s">
        <v>2135</v>
      </c>
      <c r="C634" s="8" t="s">
        <v>2136</v>
      </c>
      <c r="D634" s="8" t="s">
        <v>2137</v>
      </c>
      <c r="E634" s="8" t="s">
        <v>34</v>
      </c>
      <c r="F634" s="8" t="s">
        <v>101</v>
      </c>
      <c r="G634" s="8" t="s">
        <v>102</v>
      </c>
      <c r="H634" s="8" t="s">
        <v>359</v>
      </c>
      <c r="I634" s="8" t="s">
        <v>241</v>
      </c>
      <c r="J634" s="8" t="s">
        <v>29</v>
      </c>
      <c r="K634" s="8" t="n">
        <v>5</v>
      </c>
      <c r="L634" s="8" t="n">
        <v>237.17</v>
      </c>
      <c r="M634" s="8" t="n">
        <v>0.2</v>
      </c>
      <c r="N634" s="8" t="n">
        <v>948.68</v>
      </c>
      <c r="O634" s="8" t="n">
        <v>318.92</v>
      </c>
    </row>
    <row r="635" customFormat="false" ht="15" hidden="false" customHeight="true" outlineLevel="0" collapsed="false">
      <c r="A635" s="8" t="s">
        <v>2138</v>
      </c>
      <c r="B635" s="8" t="s">
        <v>2139</v>
      </c>
      <c r="C635" s="8" t="s">
        <v>2140</v>
      </c>
      <c r="D635" s="8" t="s">
        <v>2141</v>
      </c>
      <c r="E635" s="8" t="s">
        <v>24</v>
      </c>
      <c r="F635" s="8" t="s">
        <v>200</v>
      </c>
      <c r="G635" s="8" t="s">
        <v>82</v>
      </c>
      <c r="H635" s="8" t="s">
        <v>191</v>
      </c>
      <c r="I635" s="8" t="s">
        <v>425</v>
      </c>
      <c r="J635" s="8" t="s">
        <v>29</v>
      </c>
      <c r="K635" s="8" t="n">
        <v>2</v>
      </c>
      <c r="L635" s="8" t="n">
        <v>1062.04</v>
      </c>
      <c r="M635" s="8" t="n">
        <v>0.15</v>
      </c>
      <c r="N635" s="8" t="n">
        <v>1805.47</v>
      </c>
      <c r="O635" s="8"/>
    </row>
    <row r="636" customFormat="false" ht="15" hidden="false" customHeight="true" outlineLevel="0" collapsed="false">
      <c r="A636" s="8" t="s">
        <v>2142</v>
      </c>
      <c r="B636" s="8" t="s">
        <v>2143</v>
      </c>
      <c r="C636" s="8" t="s">
        <v>2144</v>
      </c>
      <c r="D636" s="8" t="s">
        <v>2145</v>
      </c>
      <c r="E636" s="8"/>
      <c r="F636" s="8" t="s">
        <v>44</v>
      </c>
      <c r="G636" s="8" t="s">
        <v>62</v>
      </c>
      <c r="H636" s="8" t="s">
        <v>114</v>
      </c>
      <c r="I636" s="8" t="s">
        <v>201</v>
      </c>
      <c r="J636" s="8" t="s">
        <v>47</v>
      </c>
      <c r="K636" s="8" t="n">
        <v>1</v>
      </c>
      <c r="L636" s="8" t="n">
        <v>402.53</v>
      </c>
      <c r="M636" s="8"/>
      <c r="N636" s="8" t="n">
        <v>402.53</v>
      </c>
      <c r="O636" s="8" t="n">
        <v>111.49</v>
      </c>
    </row>
    <row r="637" customFormat="false" ht="15" hidden="false" customHeight="true" outlineLevel="0" collapsed="false">
      <c r="A637" s="8" t="s">
        <v>2146</v>
      </c>
      <c r="B637" s="8" t="s">
        <v>2147</v>
      </c>
      <c r="C637" s="8" t="s">
        <v>2148</v>
      </c>
      <c r="D637" s="8" t="s">
        <v>2149</v>
      </c>
      <c r="E637" s="8" t="s">
        <v>34</v>
      </c>
      <c r="F637" s="8" t="s">
        <v>44</v>
      </c>
      <c r="G637" s="8" t="s">
        <v>36</v>
      </c>
      <c r="H637" s="8" t="s">
        <v>120</v>
      </c>
      <c r="I637" s="8" t="s">
        <v>127</v>
      </c>
      <c r="J637" s="8" t="s">
        <v>29</v>
      </c>
      <c r="K637" s="8" t="n">
        <v>2</v>
      </c>
      <c r="L637" s="8" t="n">
        <v>1014.44</v>
      </c>
      <c r="M637" s="8"/>
      <c r="N637" s="8" t="n">
        <v>2028.88</v>
      </c>
      <c r="O637" s="8" t="n">
        <v>167.85</v>
      </c>
    </row>
    <row r="638" customFormat="false" ht="15" hidden="false" customHeight="true" outlineLevel="0" collapsed="false">
      <c r="A638" s="8" t="s">
        <v>2150</v>
      </c>
      <c r="B638" s="8" t="s">
        <v>2151</v>
      </c>
      <c r="C638" s="8" t="s">
        <v>1246</v>
      </c>
      <c r="D638" s="8" t="s">
        <v>2152</v>
      </c>
      <c r="E638" s="8" t="s">
        <v>24</v>
      </c>
      <c r="F638" s="8" t="s">
        <v>44</v>
      </c>
      <c r="G638" s="8" t="s">
        <v>36</v>
      </c>
      <c r="H638" s="8" t="s">
        <v>359</v>
      </c>
      <c r="I638" s="8" t="s">
        <v>133</v>
      </c>
      <c r="J638" s="8" t="s">
        <v>29</v>
      </c>
      <c r="K638" s="8" t="n">
        <v>3</v>
      </c>
      <c r="L638" s="8" t="n">
        <v>1026.22</v>
      </c>
      <c r="M638" s="8" t="n">
        <v>0.15</v>
      </c>
      <c r="N638" s="8" t="n">
        <v>2616.86</v>
      </c>
      <c r="O638" s="8" t="n">
        <v>245.95</v>
      </c>
    </row>
    <row r="639" customFormat="false" ht="15" hidden="false" customHeight="true" outlineLevel="0" collapsed="false">
      <c r="A639" s="8" t="s">
        <v>2153</v>
      </c>
      <c r="B639" s="8" t="s">
        <v>2154</v>
      </c>
      <c r="C639" s="8" t="s">
        <v>2155</v>
      </c>
      <c r="D639" s="8" t="s">
        <v>358</v>
      </c>
      <c r="E639" s="8" t="s">
        <v>24</v>
      </c>
      <c r="F639" s="8" t="s">
        <v>147</v>
      </c>
      <c r="G639" s="8" t="s">
        <v>54</v>
      </c>
      <c r="H639" s="8" t="s">
        <v>77</v>
      </c>
      <c r="I639" s="8" t="s">
        <v>121</v>
      </c>
      <c r="J639" s="8" t="s">
        <v>29</v>
      </c>
      <c r="K639" s="8" t="n">
        <v>4</v>
      </c>
      <c r="L639" s="8" t="n">
        <v>507.19</v>
      </c>
      <c r="M639" s="8"/>
      <c r="N639" s="8" t="n">
        <v>2028.76</v>
      </c>
      <c r="O639" s="8" t="n">
        <v>40.43</v>
      </c>
    </row>
    <row r="640" customFormat="false" ht="15" hidden="false" customHeight="true" outlineLevel="0" collapsed="false">
      <c r="A640" s="8" t="s">
        <v>2156</v>
      </c>
      <c r="B640" s="8" t="s">
        <v>2157</v>
      </c>
      <c r="C640" s="8" t="s">
        <v>2158</v>
      </c>
      <c r="D640" s="8" t="s">
        <v>723</v>
      </c>
      <c r="E640" s="8" t="s">
        <v>24</v>
      </c>
      <c r="F640" s="8" t="s">
        <v>61</v>
      </c>
      <c r="G640" s="8" t="s">
        <v>76</v>
      </c>
      <c r="H640" s="8" t="s">
        <v>120</v>
      </c>
      <c r="I640" s="8" t="s">
        <v>425</v>
      </c>
      <c r="J640" s="8" t="s">
        <v>47</v>
      </c>
      <c r="K640" s="8" t="n">
        <v>4</v>
      </c>
      <c r="L640" s="8" t="n">
        <v>956.19</v>
      </c>
      <c r="M640" s="8"/>
      <c r="N640" s="8" t="n">
        <v>3824.76</v>
      </c>
      <c r="O640" s="8" t="n">
        <v>660.1</v>
      </c>
    </row>
    <row r="641" customFormat="false" ht="15" hidden="false" customHeight="true" outlineLevel="0" collapsed="false">
      <c r="A641" s="8" t="s">
        <v>2159</v>
      </c>
      <c r="B641" s="8" t="s">
        <v>2160</v>
      </c>
      <c r="C641" s="8" t="s">
        <v>2161</v>
      </c>
      <c r="D641" s="8" t="s">
        <v>2162</v>
      </c>
      <c r="E641" s="8" t="s">
        <v>52</v>
      </c>
      <c r="F641" s="8" t="s">
        <v>154</v>
      </c>
      <c r="G641" s="8" t="s">
        <v>102</v>
      </c>
      <c r="H641" s="8" t="s">
        <v>359</v>
      </c>
      <c r="I641" s="8" t="s">
        <v>56</v>
      </c>
      <c r="J641" s="8" t="s">
        <v>47</v>
      </c>
      <c r="K641" s="8" t="n">
        <v>3</v>
      </c>
      <c r="L641" s="8" t="n">
        <v>559.67</v>
      </c>
      <c r="M641" s="8" t="n">
        <v>0.2</v>
      </c>
      <c r="N641" s="8" t="n">
        <v>1343.21</v>
      </c>
      <c r="O641" s="8" t="n">
        <v>263.81</v>
      </c>
    </row>
    <row r="642" customFormat="false" ht="15" hidden="false" customHeight="true" outlineLevel="0" collapsed="false">
      <c r="A642" s="8" t="s">
        <v>2163</v>
      </c>
      <c r="B642" s="8" t="s">
        <v>2164</v>
      </c>
      <c r="C642" s="8" t="s">
        <v>2165</v>
      </c>
      <c r="D642" s="8" t="s">
        <v>2166</v>
      </c>
      <c r="E642" s="8" t="s">
        <v>24</v>
      </c>
      <c r="F642" s="8" t="s">
        <v>173</v>
      </c>
      <c r="G642" s="8" t="s">
        <v>102</v>
      </c>
      <c r="H642" s="8" t="s">
        <v>37</v>
      </c>
      <c r="I642" s="8" t="s">
        <v>404</v>
      </c>
      <c r="J642" s="8" t="s">
        <v>29</v>
      </c>
      <c r="K642" s="8"/>
      <c r="L642" s="8" t="n">
        <v>1076.35</v>
      </c>
      <c r="M642" s="8"/>
      <c r="N642" s="8" t="n">
        <v>1076.35</v>
      </c>
      <c r="O642" s="8" t="n">
        <v>92.13</v>
      </c>
    </row>
    <row r="643" customFormat="false" ht="15" hidden="false" customHeight="true" outlineLevel="0" collapsed="false">
      <c r="A643" s="8" t="s">
        <v>2167</v>
      </c>
      <c r="B643" s="8" t="s">
        <v>2168</v>
      </c>
      <c r="C643" s="8" t="s">
        <v>2169</v>
      </c>
      <c r="D643" s="8" t="s">
        <v>464</v>
      </c>
      <c r="E643" s="8" t="s">
        <v>24</v>
      </c>
      <c r="F643" s="8" t="s">
        <v>200</v>
      </c>
      <c r="G643" s="8" t="s">
        <v>82</v>
      </c>
      <c r="H643" s="8" t="s">
        <v>103</v>
      </c>
      <c r="I643" s="8" t="s">
        <v>241</v>
      </c>
      <c r="J643" s="8" t="s">
        <v>39</v>
      </c>
      <c r="K643" s="8" t="n">
        <v>2</v>
      </c>
      <c r="L643" s="8" t="n">
        <v>360.76</v>
      </c>
      <c r="M643" s="8" t="n">
        <v>0</v>
      </c>
      <c r="N643" s="8" t="n">
        <v>721.52</v>
      </c>
      <c r="O643" s="8" t="n">
        <v>191.07</v>
      </c>
    </row>
    <row r="644" customFormat="false" ht="15" hidden="false" customHeight="true" outlineLevel="0" collapsed="false">
      <c r="A644" s="8" t="s">
        <v>2170</v>
      </c>
      <c r="B644" s="8" t="s">
        <v>2171</v>
      </c>
      <c r="C644" s="8" t="s">
        <v>2172</v>
      </c>
      <c r="D644" s="8" t="s">
        <v>883</v>
      </c>
      <c r="E644" s="8"/>
      <c r="F644" s="8" t="s">
        <v>229</v>
      </c>
      <c r="G644" s="8" t="s">
        <v>119</v>
      </c>
      <c r="H644" s="8" t="s">
        <v>148</v>
      </c>
      <c r="I644" s="8" t="s">
        <v>160</v>
      </c>
      <c r="J644" s="8" t="s">
        <v>64</v>
      </c>
      <c r="K644" s="8" t="n">
        <v>1</v>
      </c>
      <c r="L644" s="8" t="n">
        <v>1076.88</v>
      </c>
      <c r="M644" s="8"/>
      <c r="N644" s="8" t="n">
        <v>1076.88</v>
      </c>
      <c r="O644" s="8" t="n">
        <v>347.07</v>
      </c>
    </row>
    <row r="645" customFormat="false" ht="15" hidden="false" customHeight="true" outlineLevel="0" collapsed="false">
      <c r="A645" s="8" t="s">
        <v>2173</v>
      </c>
      <c r="B645" s="8" t="s">
        <v>2174</v>
      </c>
      <c r="C645" s="8" t="s">
        <v>1029</v>
      </c>
      <c r="D645" s="8" t="s">
        <v>190</v>
      </c>
      <c r="E645" s="8" t="s">
        <v>24</v>
      </c>
      <c r="F645" s="8" t="s">
        <v>126</v>
      </c>
      <c r="G645" s="8" t="s">
        <v>82</v>
      </c>
      <c r="H645" s="8" t="s">
        <v>120</v>
      </c>
      <c r="I645" s="8" t="s">
        <v>425</v>
      </c>
      <c r="J645" s="8" t="s">
        <v>47</v>
      </c>
      <c r="K645" s="8" t="n">
        <v>1</v>
      </c>
      <c r="L645" s="8" t="n">
        <v>50.08</v>
      </c>
      <c r="M645" s="8" t="n">
        <v>0.05</v>
      </c>
      <c r="N645" s="8" t="n">
        <v>47.58</v>
      </c>
      <c r="O645" s="8" t="n">
        <v>10.09</v>
      </c>
    </row>
    <row r="646" customFormat="false" ht="15" hidden="false" customHeight="true" outlineLevel="0" collapsed="false">
      <c r="A646" s="8" t="s">
        <v>2175</v>
      </c>
      <c r="B646" s="8" t="s">
        <v>2143</v>
      </c>
      <c r="C646" s="8" t="s">
        <v>99</v>
      </c>
      <c r="D646" s="8" t="s">
        <v>2008</v>
      </c>
      <c r="E646" s="8" t="s">
        <v>24</v>
      </c>
      <c r="F646" s="8" t="s">
        <v>35</v>
      </c>
      <c r="G646" s="8" t="s">
        <v>62</v>
      </c>
      <c r="H646" s="8" t="s">
        <v>77</v>
      </c>
      <c r="I646" s="8" t="s">
        <v>121</v>
      </c>
      <c r="J646" s="8" t="s">
        <v>47</v>
      </c>
      <c r="K646" s="8" t="n">
        <v>5</v>
      </c>
      <c r="L646" s="8" t="n">
        <v>33.75</v>
      </c>
      <c r="M646" s="8" t="n">
        <v>0.2</v>
      </c>
      <c r="N646" s="8" t="n">
        <v>135</v>
      </c>
      <c r="O646" s="8" t="n">
        <v>33.17</v>
      </c>
    </row>
    <row r="647" customFormat="false" ht="15" hidden="false" customHeight="true" outlineLevel="0" collapsed="false">
      <c r="A647" s="8" t="s">
        <v>2176</v>
      </c>
      <c r="B647" s="8" t="s">
        <v>1827</v>
      </c>
      <c r="C647" s="8" t="s">
        <v>2177</v>
      </c>
      <c r="D647" s="8" t="s">
        <v>1389</v>
      </c>
      <c r="E647" s="8" t="s">
        <v>34</v>
      </c>
      <c r="F647" s="8" t="s">
        <v>25</v>
      </c>
      <c r="G647" s="8" t="s">
        <v>82</v>
      </c>
      <c r="H647" s="8" t="s">
        <v>103</v>
      </c>
      <c r="I647" s="8" t="s">
        <v>63</v>
      </c>
      <c r="J647" s="8" t="s">
        <v>64</v>
      </c>
      <c r="K647" s="8" t="n">
        <v>4</v>
      </c>
      <c r="L647" s="8" t="n">
        <v>1098.73</v>
      </c>
      <c r="M647" s="8" t="n">
        <v>0.05</v>
      </c>
      <c r="N647" s="8" t="n">
        <v>4175.17</v>
      </c>
      <c r="O647" s="8" t="n">
        <v>154.33</v>
      </c>
    </row>
    <row r="648" customFormat="false" ht="15" hidden="false" customHeight="true" outlineLevel="0" collapsed="false">
      <c r="A648" s="8" t="s">
        <v>2178</v>
      </c>
      <c r="B648" s="8" t="s">
        <v>1187</v>
      </c>
      <c r="C648" s="8" t="s">
        <v>2179</v>
      </c>
      <c r="D648" s="8" t="s">
        <v>1465</v>
      </c>
      <c r="E648" s="8" t="s">
        <v>34</v>
      </c>
      <c r="F648" s="8" t="s">
        <v>229</v>
      </c>
      <c r="G648" s="8" t="s">
        <v>102</v>
      </c>
      <c r="H648" s="8" t="s">
        <v>120</v>
      </c>
      <c r="I648" s="8" t="s">
        <v>78</v>
      </c>
      <c r="J648" s="8" t="s">
        <v>29</v>
      </c>
      <c r="K648" s="8" t="n">
        <v>1</v>
      </c>
      <c r="L648" s="8" t="n">
        <v>352.51</v>
      </c>
      <c r="M648" s="8" t="n">
        <v>0</v>
      </c>
      <c r="N648" s="8" t="n">
        <v>352.51</v>
      </c>
      <c r="O648" s="8" t="n">
        <v>110.72</v>
      </c>
    </row>
    <row r="649" customFormat="false" ht="15" hidden="false" customHeight="true" outlineLevel="0" collapsed="false">
      <c r="A649" s="8" t="s">
        <v>2180</v>
      </c>
      <c r="B649" s="8" t="s">
        <v>909</v>
      </c>
      <c r="C649" s="8" t="s">
        <v>732</v>
      </c>
      <c r="D649" s="8" t="s">
        <v>2181</v>
      </c>
      <c r="E649" s="8"/>
      <c r="F649" s="8" t="s">
        <v>44</v>
      </c>
      <c r="G649" s="8" t="s">
        <v>36</v>
      </c>
      <c r="H649" s="8" t="s">
        <v>245</v>
      </c>
      <c r="I649" s="8" t="s">
        <v>96</v>
      </c>
      <c r="J649" s="8" t="s">
        <v>64</v>
      </c>
      <c r="K649" s="8" t="n">
        <v>2</v>
      </c>
      <c r="L649" s="8" t="n">
        <v>1054.22</v>
      </c>
      <c r="M649" s="8" t="n">
        <v>0</v>
      </c>
      <c r="N649" s="8" t="n">
        <v>2108.44</v>
      </c>
      <c r="O649" s="8" t="n">
        <v>-54.17</v>
      </c>
    </row>
    <row r="650" customFormat="false" ht="15" hidden="false" customHeight="true" outlineLevel="0" collapsed="false">
      <c r="A650" s="8" t="s">
        <v>2182</v>
      </c>
      <c r="B650" s="8" t="s">
        <v>2183</v>
      </c>
      <c r="C650" s="8" t="s">
        <v>2184</v>
      </c>
      <c r="D650" s="8" t="s">
        <v>2185</v>
      </c>
      <c r="E650" s="8" t="s">
        <v>52</v>
      </c>
      <c r="F650" s="8" t="s">
        <v>69</v>
      </c>
      <c r="G650" s="8" t="s">
        <v>26</v>
      </c>
      <c r="H650" s="8" t="s">
        <v>55</v>
      </c>
      <c r="I650" s="8" t="s">
        <v>56</v>
      </c>
      <c r="J650" s="8" t="s">
        <v>39</v>
      </c>
      <c r="K650" s="8" t="n">
        <v>5</v>
      </c>
      <c r="L650" s="8" t="n">
        <v>265.97</v>
      </c>
      <c r="M650" s="8"/>
      <c r="N650" s="8" t="n">
        <v>1329.85</v>
      </c>
      <c r="O650" s="8"/>
    </row>
    <row r="651" customFormat="false" ht="15" hidden="false" customHeight="true" outlineLevel="0" collapsed="false">
      <c r="A651" s="8" t="s">
        <v>2186</v>
      </c>
      <c r="B651" s="8" t="s">
        <v>2187</v>
      </c>
      <c r="C651" s="8"/>
      <c r="D651" s="8" t="s">
        <v>2188</v>
      </c>
      <c r="E651" s="8" t="s">
        <v>52</v>
      </c>
      <c r="F651" s="8" t="s">
        <v>154</v>
      </c>
      <c r="G651" s="8" t="s">
        <v>119</v>
      </c>
      <c r="H651" s="8" t="s">
        <v>95</v>
      </c>
      <c r="I651" s="8" t="s">
        <v>297</v>
      </c>
      <c r="J651" s="8" t="s">
        <v>29</v>
      </c>
      <c r="K651" s="8"/>
      <c r="L651" s="8" t="n">
        <v>601.02</v>
      </c>
      <c r="M651" s="8" t="n">
        <v>0.1</v>
      </c>
      <c r="N651" s="8" t="n">
        <v>540.92</v>
      </c>
      <c r="O651" s="8" t="n">
        <v>-41.79</v>
      </c>
    </row>
    <row r="652" customFormat="false" ht="15" hidden="false" customHeight="true" outlineLevel="0" collapsed="false">
      <c r="A652" s="8" t="s">
        <v>2189</v>
      </c>
      <c r="B652" s="8" t="s">
        <v>2190</v>
      </c>
      <c r="C652" s="8" t="s">
        <v>2191</v>
      </c>
      <c r="D652" s="8" t="s">
        <v>2192</v>
      </c>
      <c r="E652" s="8" t="s">
        <v>24</v>
      </c>
      <c r="F652" s="8" t="s">
        <v>94</v>
      </c>
      <c r="G652" s="8" t="s">
        <v>215</v>
      </c>
      <c r="H652" s="8" t="s">
        <v>70</v>
      </c>
      <c r="I652" s="8" t="s">
        <v>121</v>
      </c>
      <c r="J652" s="8" t="s">
        <v>64</v>
      </c>
      <c r="K652" s="8" t="n">
        <v>2</v>
      </c>
      <c r="L652" s="8" t="n">
        <v>1190.6</v>
      </c>
      <c r="M652" s="8" t="n">
        <v>0.2</v>
      </c>
      <c r="N652" s="8" t="n">
        <v>1904.96</v>
      </c>
      <c r="O652" s="8" t="n">
        <v>581.41</v>
      </c>
    </row>
    <row r="653" customFormat="false" ht="15" hidden="false" customHeight="true" outlineLevel="0" collapsed="false">
      <c r="A653" s="8" t="s">
        <v>2193</v>
      </c>
      <c r="B653" s="8" t="s">
        <v>2194</v>
      </c>
      <c r="C653" s="8" t="s">
        <v>1502</v>
      </c>
      <c r="D653" s="8" t="s">
        <v>2195</v>
      </c>
      <c r="E653" s="8" t="s">
        <v>34</v>
      </c>
      <c r="F653" s="8" t="s">
        <v>126</v>
      </c>
      <c r="G653" s="8" t="s">
        <v>82</v>
      </c>
      <c r="H653" s="8" t="s">
        <v>95</v>
      </c>
      <c r="I653" s="8" t="s">
        <v>297</v>
      </c>
      <c r="J653" s="8" t="s">
        <v>64</v>
      </c>
      <c r="K653" s="8" t="n">
        <v>1</v>
      </c>
      <c r="L653" s="8" t="n">
        <v>842.87</v>
      </c>
      <c r="M653" s="8" t="n">
        <v>0.2</v>
      </c>
      <c r="N653" s="8" t="n">
        <v>674.3</v>
      </c>
      <c r="O653" s="8" t="n">
        <v>54.33</v>
      </c>
    </row>
    <row r="654" customFormat="false" ht="15" hidden="false" customHeight="true" outlineLevel="0" collapsed="false">
      <c r="A654" s="8" t="s">
        <v>2196</v>
      </c>
      <c r="B654" s="8" t="s">
        <v>2055</v>
      </c>
      <c r="C654" s="8" t="s">
        <v>1871</v>
      </c>
      <c r="D654" s="8" t="s">
        <v>2046</v>
      </c>
      <c r="E654" s="8" t="s">
        <v>52</v>
      </c>
      <c r="F654" s="8" t="s">
        <v>53</v>
      </c>
      <c r="G654" s="8" t="s">
        <v>326</v>
      </c>
      <c r="H654" s="8" t="s">
        <v>114</v>
      </c>
      <c r="I654" s="8" t="s">
        <v>96</v>
      </c>
      <c r="J654" s="8" t="s">
        <v>47</v>
      </c>
      <c r="K654" s="8" t="n">
        <v>1</v>
      </c>
      <c r="L654" s="8" t="n">
        <v>170.79</v>
      </c>
      <c r="M654" s="8" t="n">
        <v>0.1</v>
      </c>
      <c r="N654" s="8" t="n">
        <v>153.71</v>
      </c>
      <c r="O654" s="8" t="n">
        <v>53.08</v>
      </c>
    </row>
    <row r="655" customFormat="false" ht="15" hidden="false" customHeight="true" outlineLevel="0" collapsed="false">
      <c r="A655" s="8" t="s">
        <v>2197</v>
      </c>
      <c r="B655" s="8" t="s">
        <v>2198</v>
      </c>
      <c r="C655" s="8" t="s">
        <v>2199</v>
      </c>
      <c r="D655" s="8" t="s">
        <v>2200</v>
      </c>
      <c r="E655" s="8" t="s">
        <v>52</v>
      </c>
      <c r="F655" s="8" t="s">
        <v>35</v>
      </c>
      <c r="G655" s="8" t="s">
        <v>62</v>
      </c>
      <c r="H655" s="8" t="s">
        <v>155</v>
      </c>
      <c r="I655" s="8" t="s">
        <v>138</v>
      </c>
      <c r="J655" s="8" t="s">
        <v>47</v>
      </c>
      <c r="K655" s="8" t="n">
        <v>1</v>
      </c>
      <c r="L655" s="8" t="n">
        <v>175.62</v>
      </c>
      <c r="M655" s="8" t="n">
        <v>0.2</v>
      </c>
      <c r="N655" s="8" t="n">
        <v>140.5</v>
      </c>
      <c r="O655" s="8" t="n">
        <v>45.98</v>
      </c>
    </row>
    <row r="656" customFormat="false" ht="15" hidden="false" customHeight="true" outlineLevel="0" collapsed="false">
      <c r="A656" s="8" t="s">
        <v>2201</v>
      </c>
      <c r="B656" s="8" t="s">
        <v>2202</v>
      </c>
      <c r="C656" s="8" t="s">
        <v>1885</v>
      </c>
      <c r="D656" s="8" t="s">
        <v>2026</v>
      </c>
      <c r="E656" s="8" t="s">
        <v>24</v>
      </c>
      <c r="F656" s="8" t="s">
        <v>101</v>
      </c>
      <c r="G656" s="8" t="s">
        <v>102</v>
      </c>
      <c r="H656" s="8" t="s">
        <v>148</v>
      </c>
      <c r="I656" s="8" t="s">
        <v>46</v>
      </c>
      <c r="J656" s="8" t="s">
        <v>47</v>
      </c>
      <c r="K656" s="8" t="n">
        <v>2</v>
      </c>
      <c r="L656" s="8" t="n">
        <v>1094.23</v>
      </c>
      <c r="M656" s="8"/>
      <c r="N656" s="8" t="n">
        <v>2188.46</v>
      </c>
      <c r="O656" s="8" t="n">
        <v>223.15</v>
      </c>
    </row>
    <row r="657" customFormat="false" ht="15" hidden="false" customHeight="true" outlineLevel="0" collapsed="false">
      <c r="A657" s="8" t="s">
        <v>2203</v>
      </c>
      <c r="B657" s="8" t="s">
        <v>1161</v>
      </c>
      <c r="C657" s="8"/>
      <c r="D657" s="8" t="s">
        <v>1385</v>
      </c>
      <c r="E657" s="8" t="s">
        <v>52</v>
      </c>
      <c r="F657" s="8" t="s">
        <v>101</v>
      </c>
      <c r="G657" s="8" t="s">
        <v>182</v>
      </c>
      <c r="H657" s="8" t="s">
        <v>132</v>
      </c>
      <c r="I657" s="8" t="s">
        <v>63</v>
      </c>
      <c r="J657" s="8" t="s">
        <v>47</v>
      </c>
      <c r="K657" s="8"/>
      <c r="L657" s="8" t="n">
        <v>644.76</v>
      </c>
      <c r="M657" s="8" t="n">
        <v>0</v>
      </c>
      <c r="N657" s="8" t="n">
        <v>644.76</v>
      </c>
      <c r="O657" s="8" t="n">
        <v>178.26</v>
      </c>
    </row>
    <row r="658" customFormat="false" ht="15" hidden="false" customHeight="true" outlineLevel="0" collapsed="false">
      <c r="A658" s="8" t="s">
        <v>2204</v>
      </c>
      <c r="B658" s="8" t="s">
        <v>2205</v>
      </c>
      <c r="C658" s="8" t="s">
        <v>1184</v>
      </c>
      <c r="D658" s="8" t="s">
        <v>2206</v>
      </c>
      <c r="E658" s="8"/>
      <c r="F658" s="8" t="s">
        <v>154</v>
      </c>
      <c r="G658" s="8" t="s">
        <v>102</v>
      </c>
      <c r="H658" s="8" t="s">
        <v>120</v>
      </c>
      <c r="I658" s="8" t="s">
        <v>121</v>
      </c>
      <c r="J658" s="8" t="s">
        <v>39</v>
      </c>
      <c r="K658" s="8" t="n">
        <v>1</v>
      </c>
      <c r="L658" s="8" t="n">
        <v>543.54</v>
      </c>
      <c r="M658" s="8"/>
      <c r="N658" s="8" t="n">
        <v>543.54</v>
      </c>
      <c r="O658" s="8" t="n">
        <v>98.97</v>
      </c>
    </row>
    <row r="659" customFormat="false" ht="15" hidden="false" customHeight="true" outlineLevel="0" collapsed="false">
      <c r="A659" s="8" t="s">
        <v>2207</v>
      </c>
      <c r="B659" s="8" t="s">
        <v>2208</v>
      </c>
      <c r="C659" s="8"/>
      <c r="D659" s="8" t="s">
        <v>1867</v>
      </c>
      <c r="E659" s="8" t="s">
        <v>52</v>
      </c>
      <c r="F659" s="8" t="s">
        <v>44</v>
      </c>
      <c r="G659" s="8" t="s">
        <v>76</v>
      </c>
      <c r="H659" s="8" t="s">
        <v>245</v>
      </c>
      <c r="I659" s="8" t="s">
        <v>96</v>
      </c>
      <c r="J659" s="8" t="s">
        <v>47</v>
      </c>
      <c r="K659" s="8" t="n">
        <v>1</v>
      </c>
      <c r="L659" s="8" t="n">
        <v>90.26</v>
      </c>
      <c r="M659" s="8" t="n">
        <v>0</v>
      </c>
      <c r="N659" s="8" t="n">
        <v>90.26</v>
      </c>
      <c r="O659" s="8" t="n">
        <v>19.64</v>
      </c>
    </row>
    <row r="660" customFormat="false" ht="15" hidden="false" customHeight="true" outlineLevel="0" collapsed="false">
      <c r="A660" s="8" t="s">
        <v>2209</v>
      </c>
      <c r="B660" s="8" t="s">
        <v>2143</v>
      </c>
      <c r="C660" s="8" t="s">
        <v>99</v>
      </c>
      <c r="D660" s="8" t="s">
        <v>2210</v>
      </c>
      <c r="E660" s="8" t="s">
        <v>24</v>
      </c>
      <c r="F660" s="8" t="s">
        <v>101</v>
      </c>
      <c r="G660" s="8" t="s">
        <v>119</v>
      </c>
      <c r="H660" s="8" t="s">
        <v>191</v>
      </c>
      <c r="I660" s="8" t="s">
        <v>425</v>
      </c>
      <c r="J660" s="8" t="s">
        <v>29</v>
      </c>
      <c r="K660" s="8" t="n">
        <v>1</v>
      </c>
      <c r="L660" s="8" t="n">
        <v>1048.67</v>
      </c>
      <c r="M660" s="8"/>
      <c r="N660" s="8" t="n">
        <v>1048.67</v>
      </c>
      <c r="O660" s="8" t="n">
        <v>174.94</v>
      </c>
    </row>
    <row r="661" customFormat="false" ht="15" hidden="false" customHeight="true" outlineLevel="0" collapsed="false">
      <c r="A661" s="8" t="s">
        <v>2211</v>
      </c>
      <c r="B661" s="8" t="s">
        <v>2212</v>
      </c>
      <c r="C661" s="8" t="s">
        <v>2213</v>
      </c>
      <c r="D661" s="8" t="s">
        <v>2214</v>
      </c>
      <c r="E661" s="8" t="s">
        <v>34</v>
      </c>
      <c r="F661" s="8" t="s">
        <v>147</v>
      </c>
      <c r="G661" s="8" t="s">
        <v>215</v>
      </c>
      <c r="H661" s="8" t="s">
        <v>191</v>
      </c>
      <c r="I661" s="8" t="s">
        <v>78</v>
      </c>
      <c r="J661" s="8" t="s">
        <v>47</v>
      </c>
      <c r="K661" s="8" t="n">
        <v>4</v>
      </c>
      <c r="L661" s="8" t="n">
        <v>900.87</v>
      </c>
      <c r="M661" s="8" t="n">
        <v>0.1</v>
      </c>
      <c r="N661" s="8" t="n">
        <v>3243.13</v>
      </c>
      <c r="O661" s="8" t="n">
        <v>-300.75</v>
      </c>
    </row>
    <row r="662" customFormat="false" ht="15" hidden="false" customHeight="true" outlineLevel="0" collapsed="false">
      <c r="A662" s="8" t="s">
        <v>2215</v>
      </c>
      <c r="B662" s="8" t="s">
        <v>1000</v>
      </c>
      <c r="C662" s="8" t="s">
        <v>2216</v>
      </c>
      <c r="D662" s="8" t="s">
        <v>2217</v>
      </c>
      <c r="E662" s="8" t="s">
        <v>34</v>
      </c>
      <c r="F662" s="8" t="s">
        <v>44</v>
      </c>
      <c r="G662" s="8" t="s">
        <v>36</v>
      </c>
      <c r="H662" s="8" t="s">
        <v>103</v>
      </c>
      <c r="I662" s="8" t="s">
        <v>241</v>
      </c>
      <c r="J662" s="8" t="s">
        <v>47</v>
      </c>
      <c r="K662" s="8" t="n">
        <v>1</v>
      </c>
      <c r="L662" s="8" t="n">
        <v>989.6</v>
      </c>
      <c r="M662" s="8" t="n">
        <v>0.05</v>
      </c>
      <c r="N662" s="8" t="n">
        <v>940.12</v>
      </c>
      <c r="O662" s="8" t="n">
        <v>221.49</v>
      </c>
    </row>
    <row r="663" customFormat="false" ht="15" hidden="false" customHeight="true" outlineLevel="0" collapsed="false">
      <c r="A663" s="8" t="s">
        <v>2218</v>
      </c>
      <c r="B663" s="8" t="s">
        <v>2219</v>
      </c>
      <c r="C663" s="8" t="s">
        <v>1494</v>
      </c>
      <c r="D663" s="8" t="s">
        <v>2220</v>
      </c>
      <c r="E663" s="8" t="s">
        <v>24</v>
      </c>
      <c r="F663" s="8" t="s">
        <v>69</v>
      </c>
      <c r="G663" s="8" t="s">
        <v>89</v>
      </c>
      <c r="H663" s="8" t="s">
        <v>114</v>
      </c>
      <c r="I663" s="8" t="s">
        <v>297</v>
      </c>
      <c r="J663" s="8" t="s">
        <v>29</v>
      </c>
      <c r="K663" s="8"/>
      <c r="L663" s="8" t="n">
        <v>218.57</v>
      </c>
      <c r="M663" s="8" t="n">
        <v>0.2</v>
      </c>
      <c r="N663" s="8" t="n">
        <v>174.86</v>
      </c>
      <c r="O663" s="8" t="n">
        <v>-8.12</v>
      </c>
    </row>
    <row r="664" customFormat="false" ht="15" hidden="false" customHeight="true" outlineLevel="0" collapsed="false">
      <c r="A664" s="8" t="s">
        <v>2221</v>
      </c>
      <c r="B664" s="8" t="s">
        <v>2222</v>
      </c>
      <c r="C664" s="8" t="s">
        <v>2223</v>
      </c>
      <c r="D664" s="8" t="s">
        <v>2224</v>
      </c>
      <c r="E664" s="8" t="s">
        <v>24</v>
      </c>
      <c r="F664" s="8" t="s">
        <v>229</v>
      </c>
      <c r="G664" s="8" t="s">
        <v>119</v>
      </c>
      <c r="H664" s="8" t="s">
        <v>120</v>
      </c>
      <c r="I664" s="8" t="s">
        <v>71</v>
      </c>
      <c r="J664" s="8" t="s">
        <v>39</v>
      </c>
      <c r="K664" s="8" t="n">
        <v>5</v>
      </c>
      <c r="L664" s="8" t="n">
        <v>230.06</v>
      </c>
      <c r="M664" s="8" t="n">
        <v>0</v>
      </c>
      <c r="N664" s="8" t="n">
        <v>1150.3</v>
      </c>
      <c r="O664" s="8" t="n">
        <v>312.78</v>
      </c>
    </row>
    <row r="665" customFormat="false" ht="15" hidden="false" customHeight="true" outlineLevel="0" collapsed="false">
      <c r="A665" s="8" t="s">
        <v>2225</v>
      </c>
      <c r="B665" s="8" t="s">
        <v>2226</v>
      </c>
      <c r="C665" s="8" t="s">
        <v>2227</v>
      </c>
      <c r="D665" s="8" t="s">
        <v>1700</v>
      </c>
      <c r="E665" s="8" t="s">
        <v>52</v>
      </c>
      <c r="F665" s="8" t="s">
        <v>173</v>
      </c>
      <c r="G665" s="8" t="s">
        <v>119</v>
      </c>
      <c r="H665" s="8" t="s">
        <v>132</v>
      </c>
      <c r="I665" s="8" t="s">
        <v>241</v>
      </c>
      <c r="J665" s="8" t="s">
        <v>64</v>
      </c>
      <c r="K665" s="8" t="n">
        <v>3</v>
      </c>
      <c r="L665" s="8" t="n">
        <v>768.12</v>
      </c>
      <c r="M665" s="8" t="n">
        <v>0.05</v>
      </c>
      <c r="N665" s="8" t="n">
        <v>2189.14</v>
      </c>
      <c r="O665" s="8" t="n">
        <v>166.89</v>
      </c>
    </row>
    <row r="666" customFormat="false" ht="15" hidden="false" customHeight="true" outlineLevel="0" collapsed="false">
      <c r="A666" s="8" t="s">
        <v>2228</v>
      </c>
      <c r="B666" s="8" t="s">
        <v>2229</v>
      </c>
      <c r="C666" s="8" t="s">
        <v>2230</v>
      </c>
      <c r="D666" s="8" t="s">
        <v>2231</v>
      </c>
      <c r="E666" s="8" t="s">
        <v>34</v>
      </c>
      <c r="F666" s="8" t="s">
        <v>44</v>
      </c>
      <c r="G666" s="8" t="s">
        <v>36</v>
      </c>
      <c r="H666" s="8" t="s">
        <v>142</v>
      </c>
      <c r="I666" s="8" t="s">
        <v>143</v>
      </c>
      <c r="J666" s="8" t="s">
        <v>39</v>
      </c>
      <c r="K666" s="8" t="n">
        <v>5</v>
      </c>
      <c r="L666" s="8" t="n">
        <v>685.03</v>
      </c>
      <c r="M666" s="8" t="n">
        <v>0.05</v>
      </c>
      <c r="N666" s="8" t="n">
        <v>3253.89</v>
      </c>
      <c r="O666" s="8" t="n">
        <v>615.03</v>
      </c>
    </row>
    <row r="667" customFormat="false" ht="15" hidden="false" customHeight="true" outlineLevel="0" collapsed="false">
      <c r="A667" s="8" t="s">
        <v>1617</v>
      </c>
      <c r="B667" s="8" t="s">
        <v>1618</v>
      </c>
      <c r="C667" s="8" t="s">
        <v>1581</v>
      </c>
      <c r="D667" s="8" t="s">
        <v>1619</v>
      </c>
      <c r="E667" s="8" t="s">
        <v>34</v>
      </c>
      <c r="F667" s="8" t="s">
        <v>173</v>
      </c>
      <c r="G667" s="8" t="s">
        <v>182</v>
      </c>
      <c r="H667" s="8" t="s">
        <v>132</v>
      </c>
      <c r="I667" s="8" t="s">
        <v>56</v>
      </c>
      <c r="J667" s="8" t="s">
        <v>39</v>
      </c>
      <c r="K667" s="8" t="n">
        <v>1</v>
      </c>
      <c r="L667" s="8" t="n">
        <v>216.64</v>
      </c>
      <c r="M667" s="8" t="n">
        <v>0</v>
      </c>
      <c r="N667" s="8" t="n">
        <v>216.64</v>
      </c>
      <c r="O667" s="8" t="n">
        <v>57.01</v>
      </c>
    </row>
    <row r="668" customFormat="false" ht="15" hidden="false" customHeight="true" outlineLevel="0" collapsed="false">
      <c r="A668" s="8" t="s">
        <v>2232</v>
      </c>
      <c r="B668" s="8" t="s">
        <v>2233</v>
      </c>
      <c r="C668" s="8" t="s">
        <v>333</v>
      </c>
      <c r="D668" s="8" t="s">
        <v>452</v>
      </c>
      <c r="E668" s="8"/>
      <c r="F668" s="8" t="s">
        <v>200</v>
      </c>
      <c r="G668" s="8" t="s">
        <v>89</v>
      </c>
      <c r="H668" s="8" t="s">
        <v>70</v>
      </c>
      <c r="I668" s="8" t="s">
        <v>121</v>
      </c>
      <c r="J668" s="8" t="s">
        <v>47</v>
      </c>
      <c r="K668" s="8" t="n">
        <v>1</v>
      </c>
      <c r="L668" s="8" t="n">
        <v>468.15</v>
      </c>
      <c r="M668" s="8" t="n">
        <v>0.1</v>
      </c>
      <c r="N668" s="8" t="n">
        <v>421.33</v>
      </c>
      <c r="O668" s="8" t="n">
        <v>32.54</v>
      </c>
    </row>
    <row r="669" customFormat="false" ht="15" hidden="false" customHeight="true" outlineLevel="0" collapsed="false">
      <c r="A669" s="8" t="s">
        <v>2234</v>
      </c>
      <c r="B669" s="8" t="s">
        <v>1217</v>
      </c>
      <c r="C669" s="8" t="s">
        <v>2235</v>
      </c>
      <c r="D669" s="8" t="s">
        <v>2236</v>
      </c>
      <c r="E669" s="8" t="s">
        <v>24</v>
      </c>
      <c r="F669" s="8" t="s">
        <v>101</v>
      </c>
      <c r="G669" s="8" t="s">
        <v>102</v>
      </c>
      <c r="H669" s="8" t="s">
        <v>77</v>
      </c>
      <c r="I669" s="8" t="s">
        <v>121</v>
      </c>
      <c r="J669" s="8" t="s">
        <v>29</v>
      </c>
      <c r="K669" s="8" t="n">
        <v>2</v>
      </c>
      <c r="L669" s="8" t="n">
        <v>1123.87</v>
      </c>
      <c r="M669" s="8" t="n">
        <v>0.05</v>
      </c>
      <c r="N669" s="8" t="n">
        <v>2135.35</v>
      </c>
      <c r="O669" s="8" t="n">
        <v>174.34</v>
      </c>
    </row>
    <row r="670" customFormat="false" ht="15" hidden="false" customHeight="true" outlineLevel="0" collapsed="false">
      <c r="A670" s="8" t="s">
        <v>2237</v>
      </c>
      <c r="B670" s="8" t="s">
        <v>232</v>
      </c>
      <c r="C670" s="8" t="s">
        <v>2238</v>
      </c>
      <c r="D670" s="8" t="s">
        <v>363</v>
      </c>
      <c r="E670" s="8" t="s">
        <v>52</v>
      </c>
      <c r="F670" s="8" t="s">
        <v>126</v>
      </c>
      <c r="G670" s="8" t="s">
        <v>89</v>
      </c>
      <c r="H670" s="8" t="s">
        <v>142</v>
      </c>
      <c r="I670" s="8" t="s">
        <v>404</v>
      </c>
      <c r="J670" s="8" t="s">
        <v>39</v>
      </c>
      <c r="K670" s="8" t="n">
        <v>4</v>
      </c>
      <c r="L670" s="8" t="n">
        <v>898.74</v>
      </c>
      <c r="M670" s="8" t="n">
        <v>0.2</v>
      </c>
      <c r="N670" s="8" t="n">
        <v>2875.97</v>
      </c>
      <c r="O670" s="8" t="n">
        <v>619.24</v>
      </c>
    </row>
    <row r="671" customFormat="false" ht="15" hidden="false" customHeight="true" outlineLevel="0" collapsed="false">
      <c r="A671" s="8" t="s">
        <v>2239</v>
      </c>
      <c r="B671" s="8" t="s">
        <v>2055</v>
      </c>
      <c r="C671" s="8" t="s">
        <v>2240</v>
      </c>
      <c r="D671" s="8" t="s">
        <v>1087</v>
      </c>
      <c r="E671" s="8" t="s">
        <v>52</v>
      </c>
      <c r="F671" s="8" t="s">
        <v>173</v>
      </c>
      <c r="G671" s="8" t="s">
        <v>102</v>
      </c>
      <c r="H671" s="8" t="s">
        <v>103</v>
      </c>
      <c r="I671" s="8" t="s">
        <v>220</v>
      </c>
      <c r="J671" s="8" t="s">
        <v>47</v>
      </c>
      <c r="K671" s="8" t="n">
        <v>1</v>
      </c>
      <c r="L671" s="8" t="n">
        <v>1080.64</v>
      </c>
      <c r="M671" s="8" t="n">
        <v>0.1</v>
      </c>
      <c r="N671" s="8" t="n">
        <v>972.58</v>
      </c>
      <c r="O671" s="8" t="n">
        <v>322.31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" width="100"/>
  </cols>
  <sheetData>
    <row r="1" customFormat="false" ht="19.5" hidden="false" customHeight="true" outlineLevel="0" collapsed="false">
      <c r="A1" s="9" t="s">
        <v>2241</v>
      </c>
    </row>
    <row r="3" customFormat="false" ht="15" hidden="false" customHeight="true" outlineLevel="0" collapsed="false">
      <c r="A3" s="8" t="s">
        <v>2242</v>
      </c>
    </row>
    <row r="4" customFormat="false" ht="15" hidden="false" customHeight="true" outlineLevel="0" collapsed="false">
      <c r="A4" s="8" t="s">
        <v>2243</v>
      </c>
    </row>
    <row r="5" customFormat="false" ht="15" hidden="false" customHeight="true" outlineLevel="0" collapsed="false">
      <c r="A5" s="8" t="s">
        <v>2244</v>
      </c>
    </row>
    <row r="6" customFormat="false" ht="15" hidden="false" customHeight="true" outlineLevel="0" collapsed="false">
      <c r="A6" s="8" t="s">
        <v>2245</v>
      </c>
    </row>
    <row r="7" customFormat="false" ht="15" hidden="false" customHeight="true" outlineLevel="0" collapsed="false">
      <c r="A7" s="8" t="s">
        <v>2246</v>
      </c>
    </row>
    <row r="8" customFormat="false" ht="15" hidden="false" customHeight="true" outlineLevel="0" collapsed="false">
      <c r="A8" s="8" t="s">
        <v>2247</v>
      </c>
    </row>
    <row r="9" customFormat="false" ht="15" hidden="false" customHeight="true" outlineLevel="0" collapsed="false">
      <c r="A9" s="8" t="s">
        <v>2248</v>
      </c>
    </row>
    <row r="10" customFormat="false" ht="15" hidden="false" customHeight="true" outlineLevel="0" collapsed="false">
      <c r="A10" s="8" t="s">
        <v>2249</v>
      </c>
    </row>
    <row r="11" customFormat="false" ht="15" hidden="false" customHeight="true" outlineLevel="0" collapsed="false">
      <c r="A11" s="8" t="s">
        <v>2250</v>
      </c>
    </row>
    <row r="12" customFormat="false" ht="15" hidden="false" customHeight="true" outlineLevel="0" collapsed="false">
      <c r="A12" s="8" t="s">
        <v>2251</v>
      </c>
    </row>
    <row r="13" customFormat="false" ht="15" hidden="false" customHeight="true" outlineLevel="0" collapsed="false">
      <c r="A13" s="8" t="s">
        <v>2252</v>
      </c>
    </row>
    <row r="14" customFormat="false" ht="15" hidden="false" customHeight="true" outlineLevel="0" collapsed="false">
      <c r="A14" s="8" t="s">
        <v>2253</v>
      </c>
    </row>
    <row r="15" customFormat="false" ht="15" hidden="false" customHeight="true" outlineLevel="0" collapsed="false">
      <c r="A15" s="8" t="s">
        <v>2254</v>
      </c>
    </row>
    <row r="16" customFormat="false" ht="15" hidden="false" customHeight="true" outlineLevel="0" collapsed="false">
      <c r="A16" s="8" t="s">
        <v>2255</v>
      </c>
    </row>
    <row r="17" customFormat="false" ht="15" hidden="false" customHeight="true" outlineLevel="0" collapsed="false">
      <c r="A17" s="8" t="s">
        <v>2256</v>
      </c>
    </row>
    <row r="19" customFormat="false" ht="15" hidden="false" customHeight="true" outlineLevel="0" collapsed="false">
      <c r="A19" s="10" t="s">
        <v>2257</v>
      </c>
    </row>
    <row r="20" customFormat="false" ht="15" hidden="false" customHeight="true" outlineLevel="0" collapsed="false">
      <c r="A20" s="8" t="s">
        <v>2258</v>
      </c>
    </row>
    <row r="21" customFormat="false" ht="15" hidden="false" customHeight="true" outlineLevel="0" collapsed="false">
      <c r="A21" s="8" t="s">
        <v>2259</v>
      </c>
    </row>
    <row r="22" customFormat="false" ht="15" hidden="false" customHeight="true" outlineLevel="0" collapsed="false">
      <c r="A22" s="8" t="s">
        <v>2260</v>
      </c>
    </row>
    <row r="23" customFormat="false" ht="15" hidden="false" customHeight="true" outlineLevel="0" collapsed="false">
      <c r="A23" s="8" t="s">
        <v>2261</v>
      </c>
    </row>
    <row r="24" customFormat="false" ht="15" hidden="false" customHeight="true" outlineLevel="0" collapsed="false">
      <c r="A24" s="8" t="s">
        <v>2262</v>
      </c>
    </row>
    <row r="25" customFormat="false" ht="15" hidden="false" customHeight="true" outlineLevel="0" collapsed="false">
      <c r="A25" s="8" t="s">
        <v>2263</v>
      </c>
    </row>
    <row r="26" customFormat="false" ht="15" hidden="false" customHeight="true" outlineLevel="0" collapsed="false">
      <c r="A26" s="8" t="s">
        <v>2264</v>
      </c>
    </row>
    <row r="27" customFormat="false" ht="15" hidden="false" customHeight="true" outlineLevel="0" collapsed="false">
      <c r="A27" s="8" t="s">
        <v>2265</v>
      </c>
    </row>
    <row r="28" customFormat="false" ht="15" hidden="false" customHeight="true" outlineLevel="0" collapsed="false">
      <c r="A28" s="8" t="s">
        <v>2266</v>
      </c>
    </row>
    <row r="29" customFormat="false" ht="15" hidden="false" customHeight="true" outlineLevel="0" collapsed="false">
      <c r="A29" s="8" t="s">
        <v>2267</v>
      </c>
    </row>
    <row r="30" customFormat="false" ht="15" hidden="false" customHeight="true" outlineLevel="0" collapsed="false">
      <c r="A30" s="8" t="s">
        <v>2268</v>
      </c>
    </row>
    <row r="31" customFormat="false" ht="15" hidden="false" customHeight="true" outlineLevel="0" collapsed="false">
      <c r="A31" s="8" t="s">
        <v>2269</v>
      </c>
    </row>
    <row r="32" customFormat="false" ht="15" hidden="false" customHeight="true" outlineLevel="0" collapsed="false">
      <c r="A32" s="8" t="s">
        <v>2270</v>
      </c>
    </row>
    <row r="33" customFormat="false" ht="15" hidden="false" customHeight="true" outlineLevel="0" collapsed="false">
      <c r="A33" s="8" t="s">
        <v>2271</v>
      </c>
    </row>
    <row r="34" customFormat="false" ht="15" hidden="false" customHeight="true" outlineLevel="0" collapsed="false">
      <c r="A34" s="8" t="s">
        <v>2272</v>
      </c>
    </row>
    <row r="35" customFormat="false" ht="15" hidden="false" customHeight="true" outlineLevel="0" collapsed="false">
      <c r="A35" s="8" t="s">
        <v>2273</v>
      </c>
    </row>
    <row r="36" customFormat="false" ht="15" hidden="false" customHeight="true" outlineLevel="0" collapsed="false">
      <c r="A36" s="8" t="s">
        <v>2274</v>
      </c>
    </row>
    <row r="37" customFormat="false" ht="15" hidden="false" customHeight="true" outlineLevel="0" collapsed="false">
      <c r="A37" s="8" t="s">
        <v>2275</v>
      </c>
    </row>
    <row r="38" customFormat="false" ht="15" hidden="false" customHeight="true" outlineLevel="0" collapsed="false">
      <c r="A38" s="8" t="s">
        <v>2276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6" width="12"/>
    <col collapsed="false" customWidth="true" hidden="false" outlineLevel="0" max="4" min="4" style="6" width="18"/>
    <col collapsed="false" customWidth="true" hidden="false" outlineLevel="0" max="5" min="5" style="6" width="12"/>
    <col collapsed="false" customWidth="true" hidden="false" outlineLevel="0" max="6" min="6" style="6" width="9"/>
    <col collapsed="false" customWidth="true" hidden="false" outlineLevel="0" max="7" min="7" style="6" width="12"/>
    <col collapsed="false" customWidth="true" hidden="false" outlineLevel="0" max="10" min="8" style="6" width="15"/>
    <col collapsed="false" customWidth="true" hidden="false" outlineLevel="0" max="11" min="11" style="6" width="9"/>
    <col collapsed="false" customWidth="true" hidden="false" outlineLevel="0" max="12" min="12" style="6" width="11"/>
    <col collapsed="false" customWidth="true" hidden="false" outlineLevel="0" max="13" min="13" style="6" width="9"/>
    <col collapsed="false" customWidth="true" hidden="false" outlineLevel="0" max="15" min="14" style="6" width="12"/>
    <col collapsed="false" customWidth="true" hidden="false" outlineLevel="0" max="16" min="16" style="6" width="11"/>
    <col collapsed="false" customWidth="true" hidden="false" outlineLevel="0" max="17" min="17" style="6" width="12"/>
    <col collapsed="false" customWidth="true" hidden="false" outlineLevel="0" max="18" min="18" style="6" width="13"/>
    <col collapsed="false" customWidth="true" hidden="false" outlineLevel="0" max="19" min="19" style="6" width="22"/>
    <col collapsed="false" customWidth="true" hidden="false" outlineLevel="0" max="20" min="20" style="6" width="14"/>
  </cols>
  <sheetData>
    <row r="1" customFormat="false" ht="15" hidden="false" customHeight="true" outlineLevel="0" collapsed="false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2277</v>
      </c>
      <c r="Q1" s="7" t="s">
        <v>2278</v>
      </c>
      <c r="R1" s="7" t="s">
        <v>2279</v>
      </c>
      <c r="T1" s="8" t="s">
        <v>2280</v>
      </c>
      <c r="U1" s="8"/>
    </row>
    <row r="2" customFormat="false" ht="15" hidden="false" customHeight="true" outlineLevel="0" collapsed="false">
      <c r="A2" s="8" t="s">
        <v>48</v>
      </c>
      <c r="B2" s="11" t="n">
        <v>44927</v>
      </c>
      <c r="C2" s="11" t="n">
        <v>44930</v>
      </c>
      <c r="D2" s="8" t="s">
        <v>51</v>
      </c>
      <c r="E2" s="8" t="s">
        <v>52</v>
      </c>
      <c r="F2" s="8" t="s">
        <v>147</v>
      </c>
      <c r="G2" s="8" t="s">
        <v>54</v>
      </c>
      <c r="H2" s="8" t="s">
        <v>132</v>
      </c>
      <c r="I2" s="8" t="s">
        <v>56</v>
      </c>
      <c r="J2" s="8" t="s">
        <v>39</v>
      </c>
      <c r="K2" s="8" t="n">
        <v>2</v>
      </c>
      <c r="L2" s="12" t="n">
        <v>28.81</v>
      </c>
      <c r="M2" s="13" t="n">
        <v>0.15</v>
      </c>
      <c r="N2" s="12" t="n">
        <v>48.98</v>
      </c>
      <c r="O2" s="12" t="n">
        <v>-4.42</v>
      </c>
      <c r="P2" s="8" t="str">
        <f aca="false">TEXT(B2,"mmm-yyyy")</f>
        <v>Jan-2023</v>
      </c>
      <c r="Q2" s="14" t="n">
        <f aca="false">IFERROR(O2/N2,"")</f>
        <v>-0.0902409146590445</v>
      </c>
      <c r="R2" s="8" t="str">
        <f aca="false">IF(OR(N2&gt;$U$3,N2&lt;$U$2),"Sales Outlier",IF(OR(O2&gt;$U$6,O2&lt;$U$4),"Profit Outlier",""))</f>
        <v/>
      </c>
      <c r="T2" s="8" t="s">
        <v>2281</v>
      </c>
      <c r="U2" s="8" t="n">
        <f aca="false">QUARTILE(N2:N651,1)-3*(QUARTILE(N2:N651,3)-QUARTILE(N2:N651,1))</f>
        <v>-3842.32</v>
      </c>
    </row>
    <row r="3" customFormat="false" ht="15" hidden="false" customHeight="true" outlineLevel="0" collapsed="false">
      <c r="A3" s="8" t="s">
        <v>250</v>
      </c>
      <c r="B3" s="11" t="n">
        <v>44928</v>
      </c>
      <c r="C3" s="11" t="n">
        <v>44929</v>
      </c>
      <c r="D3" s="8" t="s">
        <v>2282</v>
      </c>
      <c r="E3" s="8" t="s">
        <v>34</v>
      </c>
      <c r="F3" s="8" t="s">
        <v>126</v>
      </c>
      <c r="G3" s="8" t="s">
        <v>89</v>
      </c>
      <c r="H3" s="8" t="s">
        <v>77</v>
      </c>
      <c r="I3" s="8" t="s">
        <v>121</v>
      </c>
      <c r="J3" s="8" t="s">
        <v>29</v>
      </c>
      <c r="K3" s="8" t="n">
        <v>2</v>
      </c>
      <c r="L3" s="12" t="n">
        <v>851.76</v>
      </c>
      <c r="M3" s="13" t="n">
        <v>0.05</v>
      </c>
      <c r="N3" s="12" t="n">
        <v>1618.34</v>
      </c>
      <c r="O3" s="12" t="n">
        <v>455.78</v>
      </c>
      <c r="P3" s="8" t="str">
        <f aca="false">TEXT(B3,"mmm-yyyy")</f>
        <v>Jan-2023</v>
      </c>
      <c r="Q3" s="14" t="n">
        <f aca="false">IFERROR(O3/N3,"")</f>
        <v>0.281634267212082</v>
      </c>
      <c r="R3" s="8" t="str">
        <f aca="false">IF(OR(N3&gt;$U$3,N3&lt;$U$2),"Sales Outlier",IF(OR(O3&gt;$U$6,O3&lt;$U$4),"Profit Outlier",""))</f>
        <v/>
      </c>
      <c r="T3" s="8" t="s">
        <v>2283</v>
      </c>
      <c r="U3" s="8" t="n">
        <f aca="false">QUARTILE(N2:N651,3)+3*(QUARTILE(N2:N651,3)-QUARTILE(N2:N651,1))</f>
        <v>6212.69</v>
      </c>
    </row>
    <row r="4" customFormat="false" ht="15" hidden="false" customHeight="true" outlineLevel="0" collapsed="false">
      <c r="A4" s="8" t="s">
        <v>1986</v>
      </c>
      <c r="B4" s="11" t="n">
        <v>44930</v>
      </c>
      <c r="C4" s="11" t="n">
        <v>44933</v>
      </c>
      <c r="D4" s="8" t="s">
        <v>1270</v>
      </c>
      <c r="E4" s="8" t="s">
        <v>34</v>
      </c>
      <c r="F4" s="8" t="s">
        <v>154</v>
      </c>
      <c r="G4" s="8" t="s">
        <v>182</v>
      </c>
      <c r="H4" s="8" t="s">
        <v>45</v>
      </c>
      <c r="I4" s="8" t="s">
        <v>46</v>
      </c>
      <c r="J4" s="8" t="s">
        <v>39</v>
      </c>
      <c r="K4" s="8" t="n">
        <v>2</v>
      </c>
      <c r="L4" s="12" t="n">
        <v>764.18</v>
      </c>
      <c r="M4" s="13" t="n">
        <v>0</v>
      </c>
      <c r="N4" s="12" t="n">
        <v>1528.36</v>
      </c>
      <c r="O4" s="12" t="n">
        <v>486.97</v>
      </c>
      <c r="P4" s="8" t="str">
        <f aca="false">TEXT(B4,"mmm-yyyy")</f>
        <v>Jan-2023</v>
      </c>
      <c r="Q4" s="14" t="n">
        <f aca="false">IFERROR(O4/N4,"")</f>
        <v>0.318622575832919</v>
      </c>
      <c r="R4" s="8" t="str">
        <f aca="false">IF(OR(N4&gt;$U$3,N4&lt;$U$2),"Sales Outlier",IF(OR(O4&gt;$U$6,O4&lt;$U$4),"Profit Outlier",""))</f>
        <v/>
      </c>
      <c r="T4" s="8" t="s">
        <v>2284</v>
      </c>
      <c r="U4" s="8" t="n">
        <f aca="false">QUARTILE(O2:O651,1)-3*(QUARTILE(O2:O651,3)-QUARTILE(O2:O651,1))</f>
        <v>-733.2225</v>
      </c>
    </row>
    <row r="5" customFormat="false" ht="15" hidden="false" customHeight="true" outlineLevel="0" collapsed="false">
      <c r="A5" s="8" t="s">
        <v>822</v>
      </c>
      <c r="B5" s="11" t="n">
        <v>44932</v>
      </c>
      <c r="C5" s="11" t="n">
        <v>44937</v>
      </c>
      <c r="D5" s="8" t="s">
        <v>825</v>
      </c>
      <c r="E5" s="8" t="s">
        <v>2285</v>
      </c>
      <c r="F5" s="8" t="s">
        <v>126</v>
      </c>
      <c r="G5" s="8" t="s">
        <v>26</v>
      </c>
      <c r="H5" s="8" t="s">
        <v>37</v>
      </c>
      <c r="I5" s="8" t="s">
        <v>404</v>
      </c>
      <c r="J5" s="8" t="s">
        <v>29</v>
      </c>
      <c r="K5" s="8" t="n">
        <v>1</v>
      </c>
      <c r="L5" s="12" t="n">
        <v>819.02</v>
      </c>
      <c r="M5" s="13" t="n">
        <v>0.05</v>
      </c>
      <c r="N5" s="12" t="n">
        <v>778.07</v>
      </c>
      <c r="O5" s="12" t="n">
        <v>149.97</v>
      </c>
      <c r="P5" s="8" t="str">
        <f aca="false">TEXT(B5,"mmm-yyyy")</f>
        <v>Jan-2023</v>
      </c>
      <c r="Q5" s="14" t="n">
        <f aca="false">IFERROR(O5/N5,"")</f>
        <v>0.192746153945018</v>
      </c>
      <c r="R5" s="8" t="str">
        <f aca="false">IF(OR(N5&gt;$U$3,N5&lt;$U$2),"Sales Outlier",IF(OR(O5&gt;$U$6,O5&lt;$U$4),"Profit Outlier",""))</f>
        <v/>
      </c>
      <c r="T5" s="8"/>
      <c r="U5" s="8" t="n">
        <f aca="false">QUARTILE(O2:O651,1)-3*(QUARTILE(O2:O651,3)-QUARTILE(O2:O651,1))</f>
        <v>-733.2225</v>
      </c>
    </row>
    <row r="6" customFormat="false" ht="15" hidden="false" customHeight="true" outlineLevel="0" collapsed="false">
      <c r="A6" s="8" t="s">
        <v>626</v>
      </c>
      <c r="B6" s="11" t="n">
        <v>44932</v>
      </c>
      <c r="C6" s="11" t="n">
        <v>44935</v>
      </c>
      <c r="D6" s="8" t="s">
        <v>629</v>
      </c>
      <c r="E6" s="8" t="s">
        <v>2285</v>
      </c>
      <c r="F6" s="8" t="s">
        <v>126</v>
      </c>
      <c r="G6" s="8" t="s">
        <v>26</v>
      </c>
      <c r="H6" s="8" t="s">
        <v>114</v>
      </c>
      <c r="I6" s="8" t="s">
        <v>297</v>
      </c>
      <c r="J6" s="8" t="s">
        <v>39</v>
      </c>
      <c r="K6" s="8" t="n">
        <v>4</v>
      </c>
      <c r="L6" s="12" t="n">
        <v>436.04</v>
      </c>
      <c r="M6" s="13" t="n">
        <v>0</v>
      </c>
      <c r="N6" s="12" t="n">
        <v>1744.16</v>
      </c>
      <c r="O6" s="12" t="n">
        <v>262.75</v>
      </c>
      <c r="P6" s="8" t="str">
        <f aca="false">TEXT(B6,"mmm-yyyy")</f>
        <v>Jan-2023</v>
      </c>
      <c r="Q6" s="14" t="n">
        <f aca="false">IFERROR(O6/N6,"")</f>
        <v>0.150645582974039</v>
      </c>
      <c r="R6" s="8" t="str">
        <f aca="false">IF(OR(N6&gt;$U$3,N6&lt;$U$2),"Sales Outlier",IF(OR(O6&gt;$U$6,O6&lt;$U$4),"Profit Outlier",""))</f>
        <v/>
      </c>
      <c r="T6" s="8" t="s">
        <v>2286</v>
      </c>
      <c r="U6" s="8" t="n">
        <f aca="false">QUARTILE(O2:O651,3)+3*(QUARTILE(O2:O651,3)-QUARTILE(O2:O651,1))</f>
        <v>993.1525</v>
      </c>
    </row>
    <row r="7" customFormat="false" ht="15" hidden="false" customHeight="true" outlineLevel="0" collapsed="false">
      <c r="A7" s="8" t="s">
        <v>1770</v>
      </c>
      <c r="B7" s="11" t="n">
        <v>44933</v>
      </c>
      <c r="C7" s="11" t="n">
        <v>44936</v>
      </c>
      <c r="D7" s="8" t="s">
        <v>330</v>
      </c>
      <c r="E7" s="8" t="s">
        <v>52</v>
      </c>
      <c r="F7" s="8" t="s">
        <v>61</v>
      </c>
      <c r="G7" s="8" t="s">
        <v>36</v>
      </c>
      <c r="H7" s="8" t="s">
        <v>45</v>
      </c>
      <c r="I7" s="8" t="s">
        <v>28</v>
      </c>
      <c r="J7" s="8" t="s">
        <v>29</v>
      </c>
      <c r="K7" s="8" t="n">
        <v>2</v>
      </c>
      <c r="L7" s="12" t="n">
        <v>1192.13</v>
      </c>
      <c r="M7" s="13" t="n">
        <v>0.1</v>
      </c>
      <c r="N7" s="12" t="n">
        <v>2145.83</v>
      </c>
      <c r="O7" s="12" t="n">
        <v>279.11</v>
      </c>
      <c r="P7" s="8" t="str">
        <f aca="false">TEXT(B7,"mmm-yyyy")</f>
        <v>Jan-2023</v>
      </c>
      <c r="Q7" s="14" t="n">
        <f aca="false">IFERROR(O7/N7,"")</f>
        <v>0.130070881663506</v>
      </c>
      <c r="R7" s="8" t="str">
        <f aca="false">IF(OR(N7&gt;$U$3,N7&lt;$U$2),"Sales Outlier",IF(OR(O7&gt;$U$6,O7&lt;$U$4),"Profit Outlier",""))</f>
        <v/>
      </c>
    </row>
    <row r="8" customFormat="false" ht="15" hidden="false" customHeight="true" outlineLevel="0" collapsed="false">
      <c r="A8" s="8" t="s">
        <v>758</v>
      </c>
      <c r="B8" s="11" t="n">
        <v>44933</v>
      </c>
      <c r="C8" s="11" t="n">
        <v>44938</v>
      </c>
      <c r="D8" s="8" t="s">
        <v>761</v>
      </c>
      <c r="E8" s="8" t="s">
        <v>52</v>
      </c>
      <c r="F8" s="8" t="s">
        <v>126</v>
      </c>
      <c r="G8" s="8" t="s">
        <v>82</v>
      </c>
      <c r="H8" s="8" t="s">
        <v>45</v>
      </c>
      <c r="I8" s="8" t="s">
        <v>46</v>
      </c>
      <c r="J8" s="8" t="s">
        <v>29</v>
      </c>
      <c r="K8" s="8" t="n">
        <v>1</v>
      </c>
      <c r="L8" s="12" t="n">
        <v>484.75</v>
      </c>
      <c r="M8" s="13" t="n">
        <v>0.1</v>
      </c>
      <c r="N8" s="12" t="n">
        <v>436.28</v>
      </c>
      <c r="O8" s="12" t="n">
        <v>71.1</v>
      </c>
      <c r="P8" s="8" t="str">
        <f aca="false">TEXT(B8,"mmm-yyyy")</f>
        <v>Jan-2023</v>
      </c>
      <c r="Q8" s="14" t="n">
        <f aca="false">IFERROR(O8/N8,"")</f>
        <v>0.162968735674338</v>
      </c>
      <c r="R8" s="8" t="str">
        <f aca="false">IF(OR(N8&gt;$U$3,N8&lt;$U$2),"Sales Outlier",IF(OR(O8&gt;$U$6,O8&lt;$U$4),"Profit Outlier",""))</f>
        <v/>
      </c>
    </row>
    <row r="9" customFormat="false" ht="15" hidden="false" customHeight="true" outlineLevel="0" collapsed="false">
      <c r="A9" s="8" t="s">
        <v>1398</v>
      </c>
      <c r="B9" s="11" t="n">
        <v>44933</v>
      </c>
      <c r="C9" s="11" t="n">
        <v>45114</v>
      </c>
      <c r="D9" s="8" t="s">
        <v>1400</v>
      </c>
      <c r="E9" s="8" t="s">
        <v>52</v>
      </c>
      <c r="F9" s="8" t="s">
        <v>147</v>
      </c>
      <c r="G9" s="8" t="s">
        <v>326</v>
      </c>
      <c r="H9" s="8" t="s">
        <v>45</v>
      </c>
      <c r="I9" s="8" t="s">
        <v>46</v>
      </c>
      <c r="J9" s="8" t="s">
        <v>29</v>
      </c>
      <c r="K9" s="8" t="n">
        <v>2</v>
      </c>
      <c r="L9" s="12" t="n">
        <v>1109.62</v>
      </c>
      <c r="M9" s="13" t="n">
        <v>0</v>
      </c>
      <c r="N9" s="12" t="n">
        <v>1109.62</v>
      </c>
      <c r="O9" s="12" t="n">
        <v>329.14</v>
      </c>
      <c r="P9" s="8" t="str">
        <f aca="false">TEXT(B9,"mmm-yyyy")</f>
        <v>Jan-2023</v>
      </c>
      <c r="Q9" s="14" t="n">
        <f aca="false">IFERROR(O9/N9,"")</f>
        <v>0.296624069501271</v>
      </c>
      <c r="R9" s="8" t="str">
        <f aca="false">IF(OR(N9&gt;$U$3,N9&lt;$U$2),"Sales Outlier",IF(OR(O9&gt;$U$6,O9&lt;$U$4),"Profit Outlier",""))</f>
        <v/>
      </c>
    </row>
    <row r="10" customFormat="false" ht="15" hidden="false" customHeight="true" outlineLevel="0" collapsed="false">
      <c r="A10" s="8" t="s">
        <v>405</v>
      </c>
      <c r="B10" s="11" t="n">
        <v>44934</v>
      </c>
      <c r="C10" s="11" t="n">
        <v>44938</v>
      </c>
      <c r="D10" s="8" t="s">
        <v>408</v>
      </c>
      <c r="E10" s="8" t="s">
        <v>52</v>
      </c>
      <c r="F10" s="8" t="s">
        <v>61</v>
      </c>
      <c r="G10" s="8" t="s">
        <v>76</v>
      </c>
      <c r="H10" s="8" t="s">
        <v>114</v>
      </c>
      <c r="I10" s="8" t="s">
        <v>109</v>
      </c>
      <c r="J10" s="8" t="s">
        <v>64</v>
      </c>
      <c r="K10" s="8" t="n">
        <v>3</v>
      </c>
      <c r="L10" s="12" t="n">
        <v>350.89</v>
      </c>
      <c r="M10" s="13" t="n">
        <v>0</v>
      </c>
      <c r="N10" s="12" t="n">
        <v>1052.67</v>
      </c>
      <c r="O10" s="12" t="n">
        <v>82.83</v>
      </c>
      <c r="P10" s="8" t="str">
        <f aca="false">TEXT(B10,"mmm-yyyy")</f>
        <v>Jan-2023</v>
      </c>
      <c r="Q10" s="14" t="n">
        <f aca="false">IFERROR(O10/N10,"")</f>
        <v>0.0786856279745789</v>
      </c>
      <c r="R10" s="8" t="str">
        <f aca="false">IF(OR(N10&gt;$U$3,N10&lt;$U$2),"Sales Outlier",IF(OR(O10&gt;$U$6,O10&lt;$U$4),"Profit Outlier",""))</f>
        <v/>
      </c>
    </row>
    <row r="11" customFormat="false" ht="15" hidden="false" customHeight="true" outlineLevel="0" collapsed="false">
      <c r="A11" s="8" t="s">
        <v>574</v>
      </c>
      <c r="B11" s="11" t="n">
        <v>44934</v>
      </c>
      <c r="C11" s="11" t="n">
        <v>44940</v>
      </c>
      <c r="D11" s="8" t="s">
        <v>577</v>
      </c>
      <c r="E11" s="8" t="s">
        <v>2285</v>
      </c>
      <c r="F11" s="8" t="s">
        <v>154</v>
      </c>
      <c r="G11" s="8" t="s">
        <v>182</v>
      </c>
      <c r="H11" s="8" t="s">
        <v>77</v>
      </c>
      <c r="I11" s="8" t="s">
        <v>425</v>
      </c>
      <c r="J11" s="8" t="s">
        <v>47</v>
      </c>
      <c r="K11" s="8" t="n">
        <v>1</v>
      </c>
      <c r="L11" s="12" t="n">
        <v>16.36</v>
      </c>
      <c r="M11" s="13" t="n">
        <v>0.1</v>
      </c>
      <c r="N11" s="12" t="n">
        <v>14.72</v>
      </c>
      <c r="O11" s="12" t="n">
        <v>1.97</v>
      </c>
      <c r="P11" s="8" t="str">
        <f aca="false">TEXT(B11,"mmm-yyyy")</f>
        <v>Jan-2023</v>
      </c>
      <c r="Q11" s="14" t="n">
        <f aca="false">IFERROR(O11/N11,"")</f>
        <v>0.13383152173913</v>
      </c>
      <c r="R11" s="8" t="str">
        <f aca="false">IF(OR(N11&gt;$U$3,N11&lt;$U$2),"Sales Outlier",IF(OR(O11&gt;$U$6,O11&lt;$U$4),"Profit Outlier",""))</f>
        <v/>
      </c>
    </row>
    <row r="12" customFormat="false" ht="15" hidden="false" customHeight="true" outlineLevel="0" collapsed="false">
      <c r="A12" s="8" t="s">
        <v>368</v>
      </c>
      <c r="B12" s="11" t="n">
        <v>44937</v>
      </c>
      <c r="C12" s="11" t="n">
        <v>44941</v>
      </c>
      <c r="D12" s="8" t="s">
        <v>371</v>
      </c>
      <c r="E12" s="8" t="s">
        <v>34</v>
      </c>
      <c r="F12" s="8" t="s">
        <v>147</v>
      </c>
      <c r="G12" s="8" t="s">
        <v>215</v>
      </c>
      <c r="H12" s="8" t="s">
        <v>132</v>
      </c>
      <c r="I12" s="8" t="s">
        <v>241</v>
      </c>
      <c r="J12" s="8" t="s">
        <v>64</v>
      </c>
      <c r="K12" s="8" t="n">
        <v>3</v>
      </c>
      <c r="L12" s="12" t="n">
        <v>667.22</v>
      </c>
      <c r="M12" s="13" t="n">
        <v>0.15</v>
      </c>
      <c r="N12" s="12" t="n">
        <v>1701.41</v>
      </c>
      <c r="O12" s="12" t="n">
        <v>212.43</v>
      </c>
      <c r="P12" s="8" t="str">
        <f aca="false">TEXT(B12,"mmm-yyyy")</f>
        <v>Jan-2023</v>
      </c>
      <c r="Q12" s="14" t="n">
        <f aca="false">IFERROR(O12/N12,"")</f>
        <v>0.124855267101992</v>
      </c>
      <c r="R12" s="8" t="str">
        <f aca="false">IF(OR(N12&gt;$U$3,N12&lt;$U$2),"Sales Outlier",IF(OR(O12&gt;$U$6,O12&lt;$U$4),"Profit Outlier",""))</f>
        <v/>
      </c>
    </row>
    <row r="13" customFormat="false" ht="15" hidden="false" customHeight="true" outlineLevel="0" collapsed="false">
      <c r="A13" s="8" t="s">
        <v>1749</v>
      </c>
      <c r="B13" s="11" t="n">
        <v>44942</v>
      </c>
      <c r="C13" s="11" t="n">
        <v>44943</v>
      </c>
      <c r="D13" s="8" t="s">
        <v>1752</v>
      </c>
      <c r="E13" s="8" t="s">
        <v>24</v>
      </c>
      <c r="F13" s="8" t="s">
        <v>154</v>
      </c>
      <c r="G13" s="8" t="s">
        <v>102</v>
      </c>
      <c r="H13" s="8" t="s">
        <v>132</v>
      </c>
      <c r="I13" s="8" t="s">
        <v>104</v>
      </c>
      <c r="J13" s="8" t="s">
        <v>29</v>
      </c>
      <c r="K13" s="8" t="n">
        <v>1</v>
      </c>
      <c r="L13" s="12" t="n">
        <v>65.45</v>
      </c>
      <c r="M13" s="13" t="n">
        <v>0.2</v>
      </c>
      <c r="N13" s="12" t="n">
        <v>52.36</v>
      </c>
      <c r="O13" s="12" t="n">
        <v>-128.24</v>
      </c>
      <c r="P13" s="8" t="str">
        <f aca="false">TEXT(B13,"mmm-yyyy")</f>
        <v>Jan-2023</v>
      </c>
      <c r="Q13" s="14" t="n">
        <f aca="false">IFERROR(O13/N13,"")</f>
        <v>-2.44919786096257</v>
      </c>
      <c r="R13" s="8" t="str">
        <f aca="false">IF(OR(N13&gt;$U$3,N13&lt;$U$2),"Sales Outlier",IF(OR(O13&gt;$U$6,O13&lt;$U$4),"Profit Outlier",""))</f>
        <v/>
      </c>
    </row>
    <row r="14" customFormat="false" ht="15" hidden="false" customHeight="true" outlineLevel="0" collapsed="false">
      <c r="A14" s="8" t="s">
        <v>1587</v>
      </c>
      <c r="B14" s="11" t="n">
        <v>44944</v>
      </c>
      <c r="C14" s="11" t="n">
        <v>44946</v>
      </c>
      <c r="D14" s="8" t="s">
        <v>486</v>
      </c>
      <c r="E14" s="8" t="s">
        <v>34</v>
      </c>
      <c r="F14" s="8" t="s">
        <v>126</v>
      </c>
      <c r="G14" s="8" t="s">
        <v>89</v>
      </c>
      <c r="H14" s="8" t="s">
        <v>45</v>
      </c>
      <c r="I14" s="8" t="s">
        <v>138</v>
      </c>
      <c r="J14" s="8" t="s">
        <v>64</v>
      </c>
      <c r="K14" s="8" t="n">
        <v>2</v>
      </c>
      <c r="L14" s="12" t="n">
        <v>1008.82</v>
      </c>
      <c r="M14" s="13" t="n">
        <v>0.05</v>
      </c>
      <c r="N14" s="12" t="n">
        <v>1916.76</v>
      </c>
      <c r="O14" s="12" t="n">
        <v>121.13</v>
      </c>
      <c r="P14" s="8" t="str">
        <f aca="false">TEXT(B14,"mmm-yyyy")</f>
        <v>Jan-2023</v>
      </c>
      <c r="Q14" s="14" t="n">
        <f aca="false">IFERROR(O14/N14,"")</f>
        <v>0.0631951835388885</v>
      </c>
      <c r="R14" s="8" t="str">
        <f aca="false">IF(OR(N14&gt;$U$3,N14&lt;$U$2),"Sales Outlier",IF(OR(O14&gt;$U$6,O14&lt;$U$4),"Profit Outlier",""))</f>
        <v/>
      </c>
    </row>
    <row r="15" customFormat="false" ht="15" hidden="false" customHeight="true" outlineLevel="0" collapsed="false">
      <c r="A15" s="8" t="s">
        <v>1470</v>
      </c>
      <c r="B15" s="11" t="n">
        <v>44945</v>
      </c>
      <c r="C15" s="11" t="n">
        <v>44950</v>
      </c>
      <c r="D15" s="8" t="s">
        <v>986</v>
      </c>
      <c r="E15" s="8" t="s">
        <v>2285</v>
      </c>
      <c r="F15" s="8" t="s">
        <v>147</v>
      </c>
      <c r="G15" s="8" t="s">
        <v>326</v>
      </c>
      <c r="H15" s="8" t="s">
        <v>114</v>
      </c>
      <c r="I15" s="8" t="s">
        <v>201</v>
      </c>
      <c r="J15" s="8" t="s">
        <v>29</v>
      </c>
      <c r="K15" s="8" t="n">
        <v>5</v>
      </c>
      <c r="L15" s="12" t="n">
        <v>819.92</v>
      </c>
      <c r="M15" s="13" t="n">
        <v>0</v>
      </c>
      <c r="N15" s="12" t="n">
        <v>4099.6</v>
      </c>
      <c r="O15" s="12" t="n">
        <v>-155.8</v>
      </c>
      <c r="P15" s="8" t="str">
        <f aca="false">TEXT(B15,"mmm-yyyy")</f>
        <v>Jan-2023</v>
      </c>
      <c r="Q15" s="14" t="n">
        <f aca="false">IFERROR(O15/N15,"")</f>
        <v>-0.0380037076787979</v>
      </c>
      <c r="R15" s="8" t="str">
        <f aca="false">IF(OR(N15&gt;$U$3,N15&lt;$U$2),"Sales Outlier",IF(OR(O15&gt;$U$6,O15&lt;$U$4),"Profit Outlier",""))</f>
        <v/>
      </c>
    </row>
    <row r="16" customFormat="false" ht="15" hidden="false" customHeight="true" outlineLevel="0" collapsed="false">
      <c r="A16" s="8" t="s">
        <v>1066</v>
      </c>
      <c r="B16" s="11" t="n">
        <v>44946</v>
      </c>
      <c r="C16" s="11" t="n">
        <v>44947</v>
      </c>
      <c r="D16" s="8" t="s">
        <v>1069</v>
      </c>
      <c r="E16" s="8" t="s">
        <v>24</v>
      </c>
      <c r="F16" s="8" t="s">
        <v>147</v>
      </c>
      <c r="G16" s="8" t="s">
        <v>54</v>
      </c>
      <c r="H16" s="8" t="s">
        <v>45</v>
      </c>
      <c r="I16" s="8" t="s">
        <v>160</v>
      </c>
      <c r="J16" s="8" t="s">
        <v>39</v>
      </c>
      <c r="K16" s="8" t="n">
        <v>2</v>
      </c>
      <c r="L16" s="12" t="n">
        <v>901.92</v>
      </c>
      <c r="M16" s="13" t="n">
        <v>0.2</v>
      </c>
      <c r="N16" s="12" t="n">
        <v>1443.07</v>
      </c>
      <c r="O16" s="12" t="n">
        <v>394.48</v>
      </c>
      <c r="P16" s="8" t="str">
        <f aca="false">TEXT(B16,"mmm-yyyy")</f>
        <v>Jan-2023</v>
      </c>
      <c r="Q16" s="14" t="n">
        <f aca="false">IFERROR(O16/N16,"")</f>
        <v>0.273361652587886</v>
      </c>
      <c r="R16" s="8" t="str">
        <f aca="false">IF(OR(N16&gt;$U$3,N16&lt;$U$2),"Sales Outlier",IF(OR(O16&gt;$U$6,O16&lt;$U$4),"Profit Outlier",""))</f>
        <v/>
      </c>
    </row>
    <row r="17" customFormat="false" ht="15" hidden="false" customHeight="true" outlineLevel="0" collapsed="false">
      <c r="A17" s="8" t="s">
        <v>508</v>
      </c>
      <c r="B17" s="11" t="n">
        <v>44948</v>
      </c>
      <c r="C17" s="11" t="n">
        <v>44952</v>
      </c>
      <c r="D17" s="8" t="s">
        <v>511</v>
      </c>
      <c r="E17" s="8" t="s">
        <v>24</v>
      </c>
      <c r="F17" s="8" t="s">
        <v>61</v>
      </c>
      <c r="G17" s="8" t="s">
        <v>62</v>
      </c>
      <c r="H17" s="8" t="s">
        <v>114</v>
      </c>
      <c r="I17" s="8" t="s">
        <v>297</v>
      </c>
      <c r="J17" s="8" t="s">
        <v>64</v>
      </c>
      <c r="K17" s="8" t="n">
        <v>3</v>
      </c>
      <c r="L17" s="12" t="n">
        <v>1058.92</v>
      </c>
      <c r="M17" s="13" t="n">
        <v>0.1</v>
      </c>
      <c r="N17" s="12" t="n">
        <v>2859.08</v>
      </c>
      <c r="O17" s="12" t="n">
        <v>-125.05</v>
      </c>
      <c r="P17" s="8" t="str">
        <f aca="false">TEXT(B17,"mmm-yyyy")</f>
        <v>Jan-2023</v>
      </c>
      <c r="Q17" s="14" t="n">
        <f aca="false">IFERROR(O17/N17,"")</f>
        <v>-0.0437378457405879</v>
      </c>
      <c r="R17" s="8" t="str">
        <f aca="false">IF(OR(N17&gt;$U$3,N17&lt;$U$2),"Sales Outlier",IF(OR(O17&gt;$U$6,O17&lt;$U$4),"Profit Outlier",""))</f>
        <v/>
      </c>
    </row>
    <row r="18" customFormat="false" ht="15" hidden="false" customHeight="true" outlineLevel="0" collapsed="false">
      <c r="A18" s="8" t="s">
        <v>905</v>
      </c>
      <c r="B18" s="11" t="n">
        <v>44950</v>
      </c>
      <c r="C18" s="11" t="n">
        <v>44953</v>
      </c>
      <c r="D18" s="8" t="s">
        <v>907</v>
      </c>
      <c r="E18" s="8" t="s">
        <v>24</v>
      </c>
      <c r="F18" s="8" t="s">
        <v>126</v>
      </c>
      <c r="G18" s="8" t="s">
        <v>82</v>
      </c>
      <c r="H18" s="8" t="s">
        <v>45</v>
      </c>
      <c r="I18" s="8" t="s">
        <v>138</v>
      </c>
      <c r="J18" s="8" t="s">
        <v>29</v>
      </c>
      <c r="K18" s="8" t="n">
        <v>2</v>
      </c>
      <c r="L18" s="12" t="n">
        <v>1002.61</v>
      </c>
      <c r="M18" s="13" t="n">
        <v>0</v>
      </c>
      <c r="N18" s="12" t="n">
        <v>2005.22</v>
      </c>
      <c r="O18" s="12" t="n">
        <v>215.12</v>
      </c>
      <c r="P18" s="8" t="str">
        <f aca="false">TEXT(B18,"mmm-yyyy")</f>
        <v>Jan-2023</v>
      </c>
      <c r="Q18" s="14" t="n">
        <f aca="false">IFERROR(O18/N18,"")</f>
        <v>0.107279999202083</v>
      </c>
      <c r="R18" s="8" t="str">
        <f aca="false">IF(OR(N18&gt;$U$3,N18&lt;$U$2),"Sales Outlier",IF(OR(O18&gt;$U$6,O18&lt;$U$4),"Profit Outlier",""))</f>
        <v/>
      </c>
    </row>
    <row r="19" customFormat="false" ht="15" hidden="false" customHeight="true" outlineLevel="0" collapsed="false">
      <c r="A19" s="8" t="s">
        <v>1143</v>
      </c>
      <c r="B19" s="11" t="n">
        <v>44950</v>
      </c>
      <c r="C19" s="11" t="n">
        <v>44952</v>
      </c>
      <c r="D19" s="8" t="s">
        <v>500</v>
      </c>
      <c r="E19" s="8" t="s">
        <v>34</v>
      </c>
      <c r="F19" s="8" t="s">
        <v>61</v>
      </c>
      <c r="G19" s="8" t="s">
        <v>36</v>
      </c>
      <c r="H19" s="8" t="s">
        <v>37</v>
      </c>
      <c r="I19" s="8" t="s">
        <v>527</v>
      </c>
      <c r="J19" s="8" t="s">
        <v>47</v>
      </c>
      <c r="K19" s="8" t="n">
        <v>3</v>
      </c>
      <c r="L19" s="12" t="n">
        <v>310.15</v>
      </c>
      <c r="M19" s="13" t="n">
        <v>0</v>
      </c>
      <c r="N19" s="12" t="n">
        <v>930.45</v>
      </c>
      <c r="O19" s="12" t="n">
        <v>-67.8</v>
      </c>
      <c r="P19" s="8" t="str">
        <f aca="false">TEXT(B19,"mmm-yyyy")</f>
        <v>Jan-2023</v>
      </c>
      <c r="Q19" s="14" t="n">
        <f aca="false">IFERROR(O19/N19,"")</f>
        <v>-0.0728679671126874</v>
      </c>
      <c r="R19" s="8" t="str">
        <f aca="false">IF(OR(N19&gt;$U$3,N19&lt;$U$2),"Sales Outlier",IF(OR(O19&gt;$U$6,O19&lt;$U$4),"Profit Outlier",""))</f>
        <v/>
      </c>
    </row>
    <row r="20" customFormat="false" ht="15" hidden="false" customHeight="true" outlineLevel="0" collapsed="false">
      <c r="A20" s="8" t="s">
        <v>2012</v>
      </c>
      <c r="B20" s="11" t="n">
        <v>44950</v>
      </c>
      <c r="C20" s="11" t="n">
        <v>44953</v>
      </c>
      <c r="D20" s="8" t="s">
        <v>1192</v>
      </c>
      <c r="E20" s="8" t="s">
        <v>52</v>
      </c>
      <c r="F20" s="8" t="s">
        <v>61</v>
      </c>
      <c r="G20" s="8" t="s">
        <v>36</v>
      </c>
      <c r="H20" s="8" t="s">
        <v>132</v>
      </c>
      <c r="I20" s="8" t="s">
        <v>220</v>
      </c>
      <c r="J20" s="8" t="s">
        <v>47</v>
      </c>
      <c r="K20" s="8" t="n">
        <v>1</v>
      </c>
      <c r="L20" s="12" t="n">
        <v>369.62</v>
      </c>
      <c r="M20" s="13" t="n">
        <v>0.15</v>
      </c>
      <c r="N20" s="12" t="n">
        <v>314.18</v>
      </c>
      <c r="O20" s="12" t="n">
        <v>36.87</v>
      </c>
      <c r="P20" s="8" t="str">
        <f aca="false">TEXT(B20,"mmm-yyyy")</f>
        <v>Jan-2023</v>
      </c>
      <c r="Q20" s="14" t="n">
        <f aca="false">IFERROR(O20/N20,"")</f>
        <v>0.117353109682348</v>
      </c>
      <c r="R20" s="8" t="str">
        <f aca="false">IF(OR(N20&gt;$U$3,N20&lt;$U$2),"Sales Outlier",IF(OR(O20&gt;$U$6,O20&lt;$U$4),"Profit Outlier",""))</f>
        <v/>
      </c>
    </row>
    <row r="21" customFormat="false" ht="15" hidden="false" customHeight="true" outlineLevel="0" collapsed="false">
      <c r="A21" s="8" t="s">
        <v>1662</v>
      </c>
      <c r="B21" s="11" t="n">
        <v>44951</v>
      </c>
      <c r="C21" s="11" t="n">
        <v>44956</v>
      </c>
      <c r="D21" s="8" t="s">
        <v>1664</v>
      </c>
      <c r="E21" s="8" t="s">
        <v>2285</v>
      </c>
      <c r="F21" s="8" t="s">
        <v>61</v>
      </c>
      <c r="G21" s="8" t="s">
        <v>76</v>
      </c>
      <c r="H21" s="8" t="s">
        <v>37</v>
      </c>
      <c r="I21" s="8" t="s">
        <v>143</v>
      </c>
      <c r="J21" s="8" t="s">
        <v>39</v>
      </c>
      <c r="K21" s="8" t="n">
        <v>1</v>
      </c>
      <c r="L21" s="12" t="n">
        <v>38.31</v>
      </c>
      <c r="M21" s="13" t="n">
        <v>0.15</v>
      </c>
      <c r="N21" s="12" t="n">
        <v>32.56</v>
      </c>
      <c r="O21" s="12" t="n">
        <v>10.79</v>
      </c>
      <c r="P21" s="8" t="str">
        <f aca="false">TEXT(B21,"mmm-yyyy")</f>
        <v>Jan-2023</v>
      </c>
      <c r="Q21" s="14" t="n">
        <f aca="false">IFERROR(O21/N21,"")</f>
        <v>0.331388206388206</v>
      </c>
      <c r="R21" s="8" t="str">
        <f aca="false">IF(OR(N21&gt;$U$3,N21&lt;$U$2),"Sales Outlier",IF(OR(O21&gt;$U$6,O21&lt;$U$4),"Profit Outlier",""))</f>
        <v/>
      </c>
    </row>
    <row r="22" customFormat="false" ht="15" hidden="false" customHeight="true" outlineLevel="0" collapsed="false">
      <c r="A22" s="8" t="s">
        <v>314</v>
      </c>
      <c r="B22" s="11" t="n">
        <v>44952</v>
      </c>
      <c r="C22" s="11" t="n">
        <v>44955</v>
      </c>
      <c r="D22" s="8" t="s">
        <v>317</v>
      </c>
      <c r="E22" s="8" t="s">
        <v>52</v>
      </c>
      <c r="F22" s="8" t="s">
        <v>126</v>
      </c>
      <c r="G22" s="8" t="s">
        <v>26</v>
      </c>
      <c r="H22" s="8" t="s">
        <v>132</v>
      </c>
      <c r="I22" s="8" t="s">
        <v>241</v>
      </c>
      <c r="J22" s="8" t="s">
        <v>29</v>
      </c>
      <c r="K22" s="8" t="n">
        <v>5</v>
      </c>
      <c r="L22" s="12" t="n">
        <v>1051.64</v>
      </c>
      <c r="M22" s="13" t="n">
        <v>0.05</v>
      </c>
      <c r="N22" s="12" t="n">
        <v>4995.29</v>
      </c>
      <c r="O22" s="12" t="n">
        <v>993.15</v>
      </c>
      <c r="P22" s="8" t="str">
        <f aca="false">TEXT(B22,"mmm-yyyy")</f>
        <v>Jan-2023</v>
      </c>
      <c r="Q22" s="14" t="n">
        <f aca="false">IFERROR(O22/N22,"")</f>
        <v>0.198817285883302</v>
      </c>
      <c r="R22" s="8" t="str">
        <f aca="false">IF(OR(N22&gt;$U$3,N22&lt;$U$2),"Sales Outlier",IF(OR(O22&gt;$U$6,O22&lt;$U$4),"Profit Outlier",""))</f>
        <v/>
      </c>
    </row>
    <row r="23" customFormat="false" ht="15" hidden="false" customHeight="true" outlineLevel="0" collapsed="false">
      <c r="A23" s="8" t="s">
        <v>473</v>
      </c>
      <c r="B23" s="11" t="n">
        <v>44953</v>
      </c>
      <c r="C23" s="11" t="n">
        <v>44956</v>
      </c>
      <c r="D23" s="8" t="s">
        <v>2287</v>
      </c>
      <c r="E23" s="8" t="s">
        <v>52</v>
      </c>
      <c r="F23" s="8" t="s">
        <v>126</v>
      </c>
      <c r="G23" s="8" t="s">
        <v>89</v>
      </c>
      <c r="H23" s="8" t="s">
        <v>37</v>
      </c>
      <c r="I23" s="8" t="s">
        <v>84</v>
      </c>
      <c r="J23" s="8" t="s">
        <v>47</v>
      </c>
      <c r="K23" s="8" t="n">
        <v>4</v>
      </c>
      <c r="L23" s="12" t="n">
        <v>469.12</v>
      </c>
      <c r="M23" s="13" t="n">
        <v>0.05</v>
      </c>
      <c r="N23" s="12" t="n">
        <v>1782.66</v>
      </c>
      <c r="O23" s="12" t="n">
        <v>623.61</v>
      </c>
      <c r="P23" s="8" t="str">
        <f aca="false">TEXT(B23,"mmm-yyyy")</f>
        <v>Jan-2023</v>
      </c>
      <c r="Q23" s="14" t="n">
        <f aca="false">IFERROR(O23/N23,"")</f>
        <v>0.349819932011713</v>
      </c>
      <c r="R23" s="8" t="str">
        <f aca="false">IF(OR(N23&gt;$U$3,N23&lt;$U$2),"Sales Outlier",IF(OR(O23&gt;$U$6,O23&lt;$U$4),"Profit Outlier",""))</f>
        <v/>
      </c>
    </row>
    <row r="24" customFormat="false" ht="15" hidden="false" customHeight="true" outlineLevel="0" collapsed="false">
      <c r="A24" s="8" t="s">
        <v>2163</v>
      </c>
      <c r="B24" s="11" t="n">
        <v>44955</v>
      </c>
      <c r="C24" s="11" t="n">
        <v>44959</v>
      </c>
      <c r="D24" s="8" t="s">
        <v>2166</v>
      </c>
      <c r="E24" s="8" t="s">
        <v>24</v>
      </c>
      <c r="F24" s="8" t="s">
        <v>154</v>
      </c>
      <c r="G24" s="8" t="s">
        <v>102</v>
      </c>
      <c r="H24" s="8" t="s">
        <v>37</v>
      </c>
      <c r="I24" s="8" t="s">
        <v>404</v>
      </c>
      <c r="J24" s="8" t="s">
        <v>29</v>
      </c>
      <c r="K24" s="8" t="n">
        <v>2</v>
      </c>
      <c r="L24" s="12" t="n">
        <v>1076.35</v>
      </c>
      <c r="M24" s="13" t="n">
        <v>0</v>
      </c>
      <c r="N24" s="12" t="n">
        <v>1076.35</v>
      </c>
      <c r="O24" s="12" t="n">
        <v>92.13</v>
      </c>
      <c r="P24" s="8" t="str">
        <f aca="false">TEXT(B24,"mmm-yyyy")</f>
        <v>Jan-2023</v>
      </c>
      <c r="Q24" s="14" t="n">
        <f aca="false">IFERROR(O24/N24,"")</f>
        <v>0.0855948343940168</v>
      </c>
      <c r="R24" s="8" t="str">
        <f aca="false">IF(OR(N24&gt;$U$3,N24&lt;$U$2),"Sales Outlier",IF(OR(O24&gt;$U$6,O24&lt;$U$4),"Profit Outlier",""))</f>
        <v/>
      </c>
    </row>
    <row r="25" customFormat="false" ht="15" hidden="false" customHeight="true" outlineLevel="0" collapsed="false">
      <c r="A25" s="8" t="s">
        <v>1979</v>
      </c>
      <c r="B25" s="11" t="n">
        <v>44957</v>
      </c>
      <c r="C25" s="11" t="n">
        <v>44963</v>
      </c>
      <c r="D25" s="8" t="s">
        <v>346</v>
      </c>
      <c r="E25" s="8" t="s">
        <v>2285</v>
      </c>
      <c r="F25" s="8" t="s">
        <v>61</v>
      </c>
      <c r="G25" s="8" t="s">
        <v>62</v>
      </c>
      <c r="H25" s="8" t="s">
        <v>45</v>
      </c>
      <c r="I25" s="8" t="s">
        <v>160</v>
      </c>
      <c r="J25" s="8" t="s">
        <v>29</v>
      </c>
      <c r="K25" s="8" t="n">
        <v>5</v>
      </c>
      <c r="L25" s="12" t="n">
        <v>1162.86</v>
      </c>
      <c r="M25" s="13" t="n">
        <v>0.1</v>
      </c>
      <c r="N25" s="12" t="n">
        <v>5232.87</v>
      </c>
      <c r="O25" s="12" t="n">
        <v>-85.91</v>
      </c>
      <c r="P25" s="8" t="str">
        <f aca="false">TEXT(B25,"mmm-yyyy")</f>
        <v>Jan-2023</v>
      </c>
      <c r="Q25" s="14" t="n">
        <f aca="false">IFERROR(O25/N25,"")</f>
        <v>-0.0164173770798816</v>
      </c>
      <c r="R25" s="8" t="str">
        <f aca="false">IF(OR(N25&gt;$U$3,N25&lt;$U$2),"Sales Outlier",IF(OR(O25&gt;$U$6,O25&lt;$U$4),"Profit Outlier",""))</f>
        <v/>
      </c>
    </row>
    <row r="26" customFormat="false" ht="15" hidden="false" customHeight="true" outlineLevel="0" collapsed="false">
      <c r="A26" s="8" t="s">
        <v>1967</v>
      </c>
      <c r="B26" s="11" t="n">
        <v>44957</v>
      </c>
      <c r="C26" s="11" t="n">
        <v>44958</v>
      </c>
      <c r="D26" s="8" t="s">
        <v>464</v>
      </c>
      <c r="E26" s="8" t="s">
        <v>24</v>
      </c>
      <c r="F26" s="8" t="s">
        <v>61</v>
      </c>
      <c r="G26" s="8" t="s">
        <v>62</v>
      </c>
      <c r="H26" s="8" t="s">
        <v>77</v>
      </c>
      <c r="I26" s="8" t="s">
        <v>425</v>
      </c>
      <c r="J26" s="8" t="s">
        <v>47</v>
      </c>
      <c r="K26" s="8" t="n">
        <v>2</v>
      </c>
      <c r="L26" s="12" t="n">
        <v>755.9</v>
      </c>
      <c r="M26" s="13" t="n">
        <v>0.05</v>
      </c>
      <c r="N26" s="12" t="n">
        <v>1436.21</v>
      </c>
      <c r="O26" s="12" t="n">
        <v>247.12</v>
      </c>
      <c r="P26" s="8" t="str">
        <f aca="false">TEXT(B26,"mmm-yyyy")</f>
        <v>Jan-2023</v>
      </c>
      <c r="Q26" s="14" t="n">
        <f aca="false">IFERROR(O26/N26,"")</f>
        <v>0.172063973931389</v>
      </c>
      <c r="R26" s="8" t="str">
        <f aca="false">IF(OR(N26&gt;$U$3,N26&lt;$U$2),"Sales Outlier",IF(OR(O26&gt;$U$6,O26&lt;$U$4),"Profit Outlier",""))</f>
        <v/>
      </c>
    </row>
    <row r="27" customFormat="false" ht="15" hidden="false" customHeight="true" outlineLevel="0" collapsed="false">
      <c r="A27" s="8" t="s">
        <v>996</v>
      </c>
      <c r="B27" s="11" t="n">
        <v>44960</v>
      </c>
      <c r="C27" s="11" t="n">
        <v>44963</v>
      </c>
      <c r="D27" s="8" t="s">
        <v>186</v>
      </c>
      <c r="E27" s="8" t="s">
        <v>2285</v>
      </c>
      <c r="F27" s="8" t="s">
        <v>154</v>
      </c>
      <c r="G27" s="8" t="s">
        <v>102</v>
      </c>
      <c r="H27" s="8" t="s">
        <v>37</v>
      </c>
      <c r="I27" s="8" t="s">
        <v>527</v>
      </c>
      <c r="J27" s="8" t="s">
        <v>39</v>
      </c>
      <c r="K27" s="8" t="n">
        <v>2</v>
      </c>
      <c r="L27" s="12" t="n">
        <v>221.07</v>
      </c>
      <c r="M27" s="13" t="n">
        <v>0.2</v>
      </c>
      <c r="N27" s="12" t="n">
        <v>176.86</v>
      </c>
      <c r="O27" s="12" t="n">
        <v>43.63</v>
      </c>
      <c r="P27" s="8" t="str">
        <f aca="false">TEXT(B27,"mmm-yyyy")</f>
        <v>Feb-2023</v>
      </c>
      <c r="Q27" s="14" t="n">
        <f aca="false">IFERROR(O27/N27,"")</f>
        <v>0.246692298993554</v>
      </c>
      <c r="R27" s="8" t="str">
        <f aca="false">IF(OR(N27&gt;$U$3,N27&lt;$U$2),"Sales Outlier",IF(OR(O27&gt;$U$6,O27&lt;$U$4),"Profit Outlier",""))</f>
        <v/>
      </c>
    </row>
    <row r="28" customFormat="false" ht="15" hidden="false" customHeight="true" outlineLevel="0" collapsed="false">
      <c r="A28" s="8" t="s">
        <v>1876</v>
      </c>
      <c r="B28" s="11" t="n">
        <v>44960</v>
      </c>
      <c r="C28" s="11" t="n">
        <v>44966</v>
      </c>
      <c r="D28" s="8" t="s">
        <v>719</v>
      </c>
      <c r="E28" s="8" t="s">
        <v>34</v>
      </c>
      <c r="F28" s="8" t="s">
        <v>147</v>
      </c>
      <c r="G28" s="8" t="s">
        <v>326</v>
      </c>
      <c r="H28" s="8" t="s">
        <v>77</v>
      </c>
      <c r="I28" s="8" t="s">
        <v>78</v>
      </c>
      <c r="J28" s="8" t="s">
        <v>29</v>
      </c>
      <c r="K28" s="8" t="n">
        <v>5</v>
      </c>
      <c r="L28" s="12" t="n">
        <v>1127.17</v>
      </c>
      <c r="M28" s="13" t="n">
        <v>0.1</v>
      </c>
      <c r="N28" s="12" t="n">
        <v>5072.27</v>
      </c>
      <c r="O28" s="12" t="n">
        <v>331.22</v>
      </c>
      <c r="P28" s="8" t="str">
        <f aca="false">TEXT(B28,"mmm-yyyy")</f>
        <v>Feb-2023</v>
      </c>
      <c r="Q28" s="14" t="n">
        <f aca="false">IFERROR(O28/N28,"")</f>
        <v>0.0653001516086486</v>
      </c>
      <c r="R28" s="8" t="str">
        <f aca="false">IF(OR(N28&gt;$U$3,N28&lt;$U$2),"Sales Outlier",IF(OR(O28&gt;$U$6,O28&lt;$U$4),"Profit Outlier",""))</f>
        <v/>
      </c>
    </row>
    <row r="29" customFormat="false" ht="15" hidden="false" customHeight="true" outlineLevel="0" collapsed="false">
      <c r="A29" s="8" t="s">
        <v>858</v>
      </c>
      <c r="B29" s="11" t="n">
        <v>44961</v>
      </c>
      <c r="C29" s="11" t="n">
        <v>44967</v>
      </c>
      <c r="D29" s="8" t="s">
        <v>569</v>
      </c>
      <c r="E29" s="8" t="s">
        <v>52</v>
      </c>
      <c r="F29" s="8" t="s">
        <v>61</v>
      </c>
      <c r="G29" s="8" t="s">
        <v>76</v>
      </c>
      <c r="H29" s="8" t="s">
        <v>77</v>
      </c>
      <c r="I29" s="8" t="s">
        <v>71</v>
      </c>
      <c r="J29" s="8" t="s">
        <v>39</v>
      </c>
      <c r="K29" s="8" t="n">
        <v>5</v>
      </c>
      <c r="L29" s="12" t="n">
        <v>18.17</v>
      </c>
      <c r="M29" s="13" t="n">
        <v>0.1</v>
      </c>
      <c r="N29" s="12" t="n">
        <v>81.77</v>
      </c>
      <c r="O29" s="12" t="n">
        <v>9.04</v>
      </c>
      <c r="P29" s="8" t="str">
        <f aca="false">TEXT(B29,"mmm-yyyy")</f>
        <v>Feb-2023</v>
      </c>
      <c r="Q29" s="14" t="n">
        <f aca="false">IFERROR(O29/N29,"")</f>
        <v>0.110553992906934</v>
      </c>
      <c r="R29" s="8" t="str">
        <f aca="false">IF(OR(N29&gt;$U$3,N29&lt;$U$2),"Sales Outlier",IF(OR(O29&gt;$U$6,O29&lt;$U$4),"Profit Outlier",""))</f>
        <v/>
      </c>
    </row>
    <row r="30" customFormat="false" ht="15" hidden="false" customHeight="true" outlineLevel="0" collapsed="false">
      <c r="A30" s="8" t="s">
        <v>2146</v>
      </c>
      <c r="B30" s="11" t="n">
        <v>44961</v>
      </c>
      <c r="C30" s="11" t="n">
        <v>45050</v>
      </c>
      <c r="D30" s="8" t="s">
        <v>2149</v>
      </c>
      <c r="E30" s="8" t="s">
        <v>34</v>
      </c>
      <c r="F30" s="8" t="s">
        <v>61</v>
      </c>
      <c r="G30" s="8" t="s">
        <v>36</v>
      </c>
      <c r="H30" s="8" t="s">
        <v>77</v>
      </c>
      <c r="I30" s="8" t="s">
        <v>127</v>
      </c>
      <c r="J30" s="8" t="s">
        <v>29</v>
      </c>
      <c r="K30" s="8" t="n">
        <v>2</v>
      </c>
      <c r="L30" s="12" t="n">
        <v>1014.44</v>
      </c>
      <c r="M30" s="13" t="n">
        <v>0</v>
      </c>
      <c r="N30" s="12" t="n">
        <v>2028.88</v>
      </c>
      <c r="O30" s="12" t="n">
        <v>167.85</v>
      </c>
      <c r="P30" s="8" t="str">
        <f aca="false">TEXT(B30,"mmm-yyyy")</f>
        <v>Feb-2023</v>
      </c>
      <c r="Q30" s="14" t="n">
        <f aca="false">IFERROR(O30/N30,"")</f>
        <v>0.0827303734079886</v>
      </c>
      <c r="R30" s="8" t="str">
        <f aca="false">IF(OR(N30&gt;$U$3,N30&lt;$U$2),"Sales Outlier",IF(OR(O30&gt;$U$6,O30&lt;$U$4),"Profit Outlier",""))</f>
        <v/>
      </c>
    </row>
    <row r="31" customFormat="false" ht="15" hidden="false" customHeight="true" outlineLevel="0" collapsed="false">
      <c r="A31" s="8" t="s">
        <v>1633</v>
      </c>
      <c r="B31" s="11" t="n">
        <v>44961</v>
      </c>
      <c r="C31" s="11" t="n">
        <v>44968</v>
      </c>
      <c r="D31" s="8" t="s">
        <v>288</v>
      </c>
      <c r="E31" s="8" t="s">
        <v>2285</v>
      </c>
      <c r="F31" s="8" t="s">
        <v>147</v>
      </c>
      <c r="G31" s="8" t="s">
        <v>215</v>
      </c>
      <c r="H31" s="8" t="s">
        <v>77</v>
      </c>
      <c r="I31" s="8" t="s">
        <v>127</v>
      </c>
      <c r="J31" s="8" t="s">
        <v>39</v>
      </c>
      <c r="K31" s="8" t="n">
        <v>2</v>
      </c>
      <c r="L31" s="12" t="n">
        <v>892.71</v>
      </c>
      <c r="M31" s="13" t="n">
        <v>0.05</v>
      </c>
      <c r="N31" s="12" t="n">
        <v>848.07</v>
      </c>
      <c r="O31" s="12" t="n">
        <v>50.43</v>
      </c>
      <c r="P31" s="8" t="str">
        <f aca="false">TEXT(B31,"mmm-yyyy")</f>
        <v>Feb-2023</v>
      </c>
      <c r="Q31" s="14" t="n">
        <f aca="false">IFERROR(O31/N31,"")</f>
        <v>0.0594644310021578</v>
      </c>
      <c r="R31" s="8" t="str">
        <f aca="false">IF(OR(N31&gt;$U$3,N31&lt;$U$2),"Sales Outlier",IF(OR(O31&gt;$U$6,O31&lt;$U$4),"Profit Outlier",""))</f>
        <v/>
      </c>
    </row>
    <row r="32" customFormat="false" ht="15" hidden="false" customHeight="true" outlineLevel="0" collapsed="false">
      <c r="A32" s="8" t="s">
        <v>480</v>
      </c>
      <c r="B32" s="11" t="n">
        <v>44962</v>
      </c>
      <c r="C32" s="11" t="n">
        <v>44963</v>
      </c>
      <c r="D32" s="8" t="s">
        <v>210</v>
      </c>
      <c r="E32" s="8" t="s">
        <v>2285</v>
      </c>
      <c r="F32" s="8" t="s">
        <v>154</v>
      </c>
      <c r="G32" s="8" t="s">
        <v>182</v>
      </c>
      <c r="H32" s="8" t="s">
        <v>45</v>
      </c>
      <c r="I32" s="8" t="s">
        <v>138</v>
      </c>
      <c r="J32" s="8" t="s">
        <v>47</v>
      </c>
      <c r="K32" s="8" t="n">
        <v>2</v>
      </c>
      <c r="L32" s="12" t="n">
        <v>109.95</v>
      </c>
      <c r="M32" s="13" t="n">
        <v>0.1</v>
      </c>
      <c r="N32" s="12" t="n">
        <v>197.91</v>
      </c>
      <c r="O32" s="12" t="n">
        <v>-19.78</v>
      </c>
      <c r="P32" s="8" t="str">
        <f aca="false">TEXT(B32,"mmm-yyyy")</f>
        <v>Feb-2023</v>
      </c>
      <c r="Q32" s="14" t="n">
        <f aca="false">IFERROR(O32/N32,"")</f>
        <v>-0.0999444191804356</v>
      </c>
      <c r="R32" s="8" t="str">
        <f aca="false">IF(OR(N32&gt;$U$3,N32&lt;$U$2),"Sales Outlier",IF(OR(O32&gt;$U$6,O32&lt;$U$4),"Profit Outlier",""))</f>
        <v/>
      </c>
    </row>
    <row r="33" customFormat="false" ht="15" hidden="false" customHeight="true" outlineLevel="0" collapsed="false">
      <c r="A33" s="8" t="s">
        <v>1115</v>
      </c>
      <c r="B33" s="11" t="n">
        <v>44963</v>
      </c>
      <c r="C33" s="11" t="n">
        <v>45175</v>
      </c>
      <c r="D33" s="8" t="s">
        <v>1117</v>
      </c>
      <c r="E33" s="8" t="s">
        <v>2285</v>
      </c>
      <c r="F33" s="8" t="s">
        <v>126</v>
      </c>
      <c r="G33" s="8" t="s">
        <v>89</v>
      </c>
      <c r="H33" s="8" t="s">
        <v>77</v>
      </c>
      <c r="I33" s="8" t="s">
        <v>78</v>
      </c>
      <c r="J33" s="8" t="s">
        <v>47</v>
      </c>
      <c r="K33" s="8" t="n">
        <v>1</v>
      </c>
      <c r="L33" s="12" t="n">
        <v>569.04</v>
      </c>
      <c r="M33" s="13" t="n">
        <v>0.2</v>
      </c>
      <c r="N33" s="12" t="n">
        <v>455.23</v>
      </c>
      <c r="O33" s="12" t="n">
        <v>121.31</v>
      </c>
      <c r="P33" s="8" t="str">
        <f aca="false">TEXT(B33,"mmm-yyyy")</f>
        <v>Feb-2023</v>
      </c>
      <c r="Q33" s="14" t="n">
        <f aca="false">IFERROR(O33/N33,"")</f>
        <v>0.266480680095776</v>
      </c>
      <c r="R33" s="8" t="str">
        <f aca="false">IF(OR(N33&gt;$U$3,N33&lt;$U$2),"Sales Outlier",IF(OR(O33&gt;$U$6,O33&lt;$U$4),"Profit Outlier",""))</f>
        <v/>
      </c>
    </row>
    <row r="34" customFormat="false" ht="15" hidden="false" customHeight="true" outlineLevel="0" collapsed="false">
      <c r="A34" s="8" t="s">
        <v>943</v>
      </c>
      <c r="B34" s="11" t="n">
        <v>44963</v>
      </c>
      <c r="C34" s="11" t="n">
        <v>44966</v>
      </c>
      <c r="D34" s="8" t="s">
        <v>935</v>
      </c>
      <c r="E34" s="8" t="s">
        <v>2285</v>
      </c>
      <c r="F34" s="8" t="s">
        <v>61</v>
      </c>
      <c r="G34" s="8" t="s">
        <v>62</v>
      </c>
      <c r="H34" s="8" t="s">
        <v>114</v>
      </c>
      <c r="I34" s="8" t="s">
        <v>96</v>
      </c>
      <c r="J34" s="8" t="s">
        <v>47</v>
      </c>
      <c r="K34" s="8" t="n">
        <v>2</v>
      </c>
      <c r="L34" s="12" t="n">
        <v>740.15</v>
      </c>
      <c r="M34" s="13" t="n">
        <v>0</v>
      </c>
      <c r="N34" s="12" t="n">
        <v>1480.3</v>
      </c>
      <c r="O34" s="12" t="n">
        <v>171.55</v>
      </c>
      <c r="P34" s="8" t="str">
        <f aca="false">TEXT(B34,"mmm-yyyy")</f>
        <v>Feb-2023</v>
      </c>
      <c r="Q34" s="14" t="n">
        <f aca="false">IFERROR(O34/N34,"")</f>
        <v>0.115888671215294</v>
      </c>
      <c r="R34" s="8" t="str">
        <f aca="false">IF(OR(N34&gt;$U$3,N34&lt;$U$2),"Sales Outlier",IF(OR(O34&gt;$U$6,O34&lt;$U$4),"Profit Outlier",""))</f>
        <v/>
      </c>
    </row>
    <row r="35" customFormat="false" ht="15" hidden="false" customHeight="true" outlineLevel="0" collapsed="false">
      <c r="A35" s="8" t="s">
        <v>807</v>
      </c>
      <c r="B35" s="11" t="n">
        <v>44964</v>
      </c>
      <c r="C35" s="11" t="n">
        <v>45023</v>
      </c>
      <c r="D35" s="8" t="s">
        <v>2288</v>
      </c>
      <c r="E35" s="8" t="s">
        <v>24</v>
      </c>
      <c r="F35" s="8" t="s">
        <v>147</v>
      </c>
      <c r="G35" s="8" t="s">
        <v>215</v>
      </c>
      <c r="H35" s="8" t="s">
        <v>132</v>
      </c>
      <c r="I35" s="8" t="s">
        <v>63</v>
      </c>
      <c r="J35" s="8" t="s">
        <v>47</v>
      </c>
      <c r="K35" s="8" t="n">
        <v>5</v>
      </c>
      <c r="L35" s="12" t="n">
        <v>115.6</v>
      </c>
      <c r="M35" s="13" t="n">
        <v>0.1</v>
      </c>
      <c r="N35" s="12" t="n">
        <v>520.2</v>
      </c>
      <c r="O35" s="12" t="n">
        <v>130.45</v>
      </c>
      <c r="P35" s="8" t="str">
        <f aca="false">TEXT(B35,"mmm-yyyy")</f>
        <v>Feb-2023</v>
      </c>
      <c r="Q35" s="14" t="n">
        <f aca="false">IFERROR(O35/N35,"")</f>
        <v>0.25076893502499</v>
      </c>
      <c r="R35" s="8" t="str">
        <f aca="false">IF(OR(N35&gt;$U$3,N35&lt;$U$2),"Sales Outlier",IF(OR(O35&gt;$U$6,O35&lt;$U$4),"Profit Outlier",""))</f>
        <v/>
      </c>
    </row>
    <row r="36" customFormat="false" ht="15" hidden="false" customHeight="true" outlineLevel="0" collapsed="false">
      <c r="A36" s="8" t="s">
        <v>1659</v>
      </c>
      <c r="B36" s="11" t="n">
        <v>44965</v>
      </c>
      <c r="C36" s="11"/>
      <c r="D36" s="8" t="s">
        <v>1334</v>
      </c>
      <c r="E36" s="8" t="s">
        <v>34</v>
      </c>
      <c r="F36" s="8" t="s">
        <v>154</v>
      </c>
      <c r="G36" s="8" t="s">
        <v>182</v>
      </c>
      <c r="H36" s="8" t="s">
        <v>114</v>
      </c>
      <c r="I36" s="8" t="s">
        <v>96</v>
      </c>
      <c r="J36" s="8" t="s">
        <v>29</v>
      </c>
      <c r="K36" s="8" t="n">
        <v>5</v>
      </c>
      <c r="L36" s="12" t="n">
        <v>815.23</v>
      </c>
      <c r="M36" s="13" t="n">
        <v>0</v>
      </c>
      <c r="N36" s="12" t="n">
        <v>4076.15</v>
      </c>
      <c r="O36" s="12" t="n">
        <v>-292.04</v>
      </c>
      <c r="P36" s="8" t="str">
        <f aca="false">TEXT(B36,"mmm-yyyy")</f>
        <v>Feb-2023</v>
      </c>
      <c r="Q36" s="14" t="n">
        <f aca="false">IFERROR(O36/N36,"")</f>
        <v>-0.0716460385412706</v>
      </c>
      <c r="R36" s="8" t="str">
        <f aca="false">IF(OR(N36&gt;$U$3,N36&lt;$U$2),"Sales Outlier",IF(OR(O36&gt;$U$6,O36&lt;$U$4),"Profit Outlier",""))</f>
        <v/>
      </c>
    </row>
    <row r="37" customFormat="false" ht="15" hidden="false" customHeight="true" outlineLevel="0" collapsed="false">
      <c r="A37" s="8" t="s">
        <v>516</v>
      </c>
      <c r="B37" s="11" t="n">
        <v>44966</v>
      </c>
      <c r="C37" s="11" t="n">
        <v>44971</v>
      </c>
      <c r="D37" s="8" t="s">
        <v>519</v>
      </c>
      <c r="E37" s="8" t="s">
        <v>34</v>
      </c>
      <c r="F37" s="8" t="s">
        <v>147</v>
      </c>
      <c r="G37" s="8" t="s">
        <v>54</v>
      </c>
      <c r="H37" s="8" t="s">
        <v>114</v>
      </c>
      <c r="I37" s="8" t="s">
        <v>201</v>
      </c>
      <c r="J37" s="8" t="s">
        <v>47</v>
      </c>
      <c r="K37" s="8" t="n">
        <v>3</v>
      </c>
      <c r="L37" s="12" t="n">
        <v>408.35</v>
      </c>
      <c r="M37" s="13" t="n">
        <v>0.15</v>
      </c>
      <c r="N37" s="12" t="n">
        <v>1041.29</v>
      </c>
      <c r="O37" s="12" t="n">
        <v>39.68</v>
      </c>
      <c r="P37" s="8" t="str">
        <f aca="false">TEXT(B37,"mmm-yyyy")</f>
        <v>Feb-2023</v>
      </c>
      <c r="Q37" s="14" t="n">
        <f aca="false">IFERROR(O37/N37,"")</f>
        <v>0.038106579339089</v>
      </c>
      <c r="R37" s="8" t="str">
        <f aca="false">IF(OR(N37&gt;$U$3,N37&lt;$U$2),"Sales Outlier",IF(OR(O37&gt;$U$6,O37&lt;$U$4),"Profit Outlier",""))</f>
        <v/>
      </c>
    </row>
    <row r="38" customFormat="false" ht="15" hidden="false" customHeight="true" outlineLevel="0" collapsed="false">
      <c r="A38" s="8" t="s">
        <v>1204</v>
      </c>
      <c r="B38" s="11" t="n">
        <v>44967</v>
      </c>
      <c r="C38" s="11" t="n">
        <v>44974</v>
      </c>
      <c r="D38" s="8" t="s">
        <v>1206</v>
      </c>
      <c r="E38" s="8" t="s">
        <v>24</v>
      </c>
      <c r="F38" s="8" t="s">
        <v>154</v>
      </c>
      <c r="G38" s="8" t="s">
        <v>182</v>
      </c>
      <c r="H38" s="8" t="s">
        <v>37</v>
      </c>
      <c r="I38" s="8" t="s">
        <v>527</v>
      </c>
      <c r="J38" s="8" t="s">
        <v>64</v>
      </c>
      <c r="K38" s="8" t="n">
        <v>1</v>
      </c>
      <c r="L38" s="12" t="n">
        <v>36.34</v>
      </c>
      <c r="M38" s="13" t="n">
        <v>0.2</v>
      </c>
      <c r="N38" s="12" t="n">
        <v>29.07</v>
      </c>
      <c r="O38" s="12" t="n">
        <v>-0.18</v>
      </c>
      <c r="P38" s="8" t="str">
        <f aca="false">TEXT(B38,"mmm-yyyy")</f>
        <v>Feb-2023</v>
      </c>
      <c r="Q38" s="14" t="n">
        <f aca="false">IFERROR(O38/N38,"")</f>
        <v>-0.00619195046439628</v>
      </c>
      <c r="R38" s="8" t="str">
        <f aca="false">IF(OR(N38&gt;$U$3,N38&lt;$U$2),"Sales Outlier",IF(OR(O38&gt;$U$6,O38&lt;$U$4),"Profit Outlier",""))</f>
        <v/>
      </c>
    </row>
    <row r="39" customFormat="false" ht="15" hidden="false" customHeight="true" outlineLevel="0" collapsed="false">
      <c r="A39" s="8" t="s">
        <v>1166</v>
      </c>
      <c r="B39" s="11" t="n">
        <v>44967</v>
      </c>
      <c r="C39" s="11" t="n">
        <v>44970</v>
      </c>
      <c r="D39" s="8" t="s">
        <v>1168</v>
      </c>
      <c r="E39" s="8" t="s">
        <v>2285</v>
      </c>
      <c r="F39" s="8" t="s">
        <v>154</v>
      </c>
      <c r="G39" s="8" t="s">
        <v>182</v>
      </c>
      <c r="H39" s="8" t="s">
        <v>77</v>
      </c>
      <c r="I39" s="8" t="s">
        <v>121</v>
      </c>
      <c r="J39" s="8" t="s">
        <v>47</v>
      </c>
      <c r="K39" s="8" t="n">
        <v>1</v>
      </c>
      <c r="L39" s="12" t="n">
        <v>373.37</v>
      </c>
      <c r="M39" s="13" t="n">
        <v>0</v>
      </c>
      <c r="N39" s="12" t="n">
        <v>373.37</v>
      </c>
      <c r="O39" s="12" t="n">
        <v>88.59</v>
      </c>
      <c r="P39" s="8" t="str">
        <f aca="false">TEXT(B39,"mmm-yyyy")</f>
        <v>Feb-2023</v>
      </c>
      <c r="Q39" s="14" t="n">
        <f aca="false">IFERROR(O39/N39,"")</f>
        <v>0.237271339422021</v>
      </c>
      <c r="R39" s="8" t="str">
        <f aca="false">IF(OR(N39&gt;$U$3,N39&lt;$U$2),"Sales Outlier",IF(OR(O39&gt;$U$6,O39&lt;$U$4),"Profit Outlier",""))</f>
        <v/>
      </c>
    </row>
    <row r="40" customFormat="false" ht="15" hidden="false" customHeight="true" outlineLevel="0" collapsed="false">
      <c r="A40" s="8" t="s">
        <v>697</v>
      </c>
      <c r="B40" s="11" t="n">
        <v>44967</v>
      </c>
      <c r="C40" s="11" t="n">
        <v>44972</v>
      </c>
      <c r="D40" s="8" t="s">
        <v>700</v>
      </c>
      <c r="E40" s="8" t="s">
        <v>52</v>
      </c>
      <c r="F40" s="8" t="s">
        <v>126</v>
      </c>
      <c r="G40" s="8" t="s">
        <v>26</v>
      </c>
      <c r="H40" s="8" t="s">
        <v>77</v>
      </c>
      <c r="I40" s="8" t="s">
        <v>71</v>
      </c>
      <c r="J40" s="8" t="s">
        <v>39</v>
      </c>
      <c r="K40" s="8" t="n">
        <v>2</v>
      </c>
      <c r="L40" s="12" t="n">
        <v>624.85</v>
      </c>
      <c r="M40" s="13" t="n">
        <v>0.15</v>
      </c>
      <c r="N40" s="12" t="n">
        <v>1062.25</v>
      </c>
      <c r="O40" s="12" t="n">
        <v>114.3</v>
      </c>
      <c r="P40" s="8" t="str">
        <f aca="false">TEXT(B40,"mmm-yyyy")</f>
        <v>Feb-2023</v>
      </c>
      <c r="Q40" s="14" t="n">
        <f aca="false">IFERROR(O40/N40,"")</f>
        <v>0.107601788656154</v>
      </c>
      <c r="R40" s="8" t="str">
        <f aca="false">IF(OR(N40&gt;$U$3,N40&lt;$U$2),"Sales Outlier",IF(OR(O40&gt;$U$6,O40&lt;$U$4),"Profit Outlier",""))</f>
        <v/>
      </c>
    </row>
    <row r="41" customFormat="false" ht="15" hidden="false" customHeight="true" outlineLevel="0" collapsed="false">
      <c r="A41" s="8" t="s">
        <v>1386</v>
      </c>
      <c r="B41" s="11" t="n">
        <v>44969</v>
      </c>
      <c r="C41" s="11" t="n">
        <v>44972</v>
      </c>
      <c r="D41" s="8" t="s">
        <v>1006</v>
      </c>
      <c r="E41" s="8" t="s">
        <v>34</v>
      </c>
      <c r="F41" s="8" t="s">
        <v>154</v>
      </c>
      <c r="G41" s="8" t="s">
        <v>182</v>
      </c>
      <c r="H41" s="8" t="s">
        <v>45</v>
      </c>
      <c r="I41" s="8" t="s">
        <v>28</v>
      </c>
      <c r="J41" s="8" t="s">
        <v>29</v>
      </c>
      <c r="K41" s="8" t="n">
        <v>5</v>
      </c>
      <c r="L41" s="12" t="n">
        <v>69.68</v>
      </c>
      <c r="M41" s="13" t="n">
        <v>0.2</v>
      </c>
      <c r="N41" s="12" t="n">
        <v>278.72</v>
      </c>
      <c r="O41" s="12" t="n">
        <v>63.89</v>
      </c>
      <c r="P41" s="8" t="str">
        <f aca="false">TEXT(B41,"mmm-yyyy")</f>
        <v>Feb-2023</v>
      </c>
      <c r="Q41" s="14" t="n">
        <f aca="false">IFERROR(O41/N41,"")</f>
        <v>0.229226463834673</v>
      </c>
      <c r="R41" s="8" t="str">
        <f aca="false">IF(OR(N41&gt;$U$3,N41&lt;$U$2),"Sales Outlier",IF(OR(O41&gt;$U$6,O41&lt;$U$4),"Profit Outlier",""))</f>
        <v/>
      </c>
    </row>
    <row r="42" customFormat="false" ht="15" hidden="false" customHeight="true" outlineLevel="0" collapsed="false">
      <c r="A42" s="8" t="s">
        <v>1353</v>
      </c>
      <c r="B42" s="11" t="n">
        <v>44970</v>
      </c>
      <c r="C42" s="11" t="n">
        <v>44974</v>
      </c>
      <c r="D42" s="8" t="s">
        <v>769</v>
      </c>
      <c r="E42" s="8" t="s">
        <v>24</v>
      </c>
      <c r="F42" s="8" t="s">
        <v>126</v>
      </c>
      <c r="G42" s="8" t="s">
        <v>89</v>
      </c>
      <c r="H42" s="8" t="s">
        <v>132</v>
      </c>
      <c r="I42" s="8" t="s">
        <v>133</v>
      </c>
      <c r="J42" s="8" t="s">
        <v>29</v>
      </c>
      <c r="K42" s="8" t="n">
        <v>4</v>
      </c>
      <c r="L42" s="12" t="n">
        <v>71.99</v>
      </c>
      <c r="M42" s="13" t="n">
        <v>0</v>
      </c>
      <c r="N42" s="12" t="n">
        <v>287.96</v>
      </c>
      <c r="O42" s="12" t="n">
        <v>46.28</v>
      </c>
      <c r="P42" s="8" t="str">
        <f aca="false">TEXT(B42,"mmm-yyyy")</f>
        <v>Feb-2023</v>
      </c>
      <c r="Q42" s="14" t="n">
        <f aca="false">IFERROR(O42/N42,"")</f>
        <v>0.16071676621753</v>
      </c>
      <c r="R42" s="8" t="str">
        <f aca="false">IF(OR(N42&gt;$U$3,N42&lt;$U$2),"Sales Outlier",IF(OR(O42&gt;$U$6,O42&lt;$U$4),"Profit Outlier",""))</f>
        <v/>
      </c>
    </row>
    <row r="43" customFormat="false" ht="15" hidden="false" customHeight="true" outlineLevel="0" collapsed="false">
      <c r="A43" s="8" t="s">
        <v>661</v>
      </c>
      <c r="B43" s="11" t="n">
        <v>44970</v>
      </c>
      <c r="C43" s="11" t="n">
        <v>44971</v>
      </c>
      <c r="D43" s="8" t="s">
        <v>664</v>
      </c>
      <c r="E43" s="8" t="s">
        <v>2285</v>
      </c>
      <c r="F43" s="8" t="s">
        <v>126</v>
      </c>
      <c r="G43" s="8" t="s">
        <v>89</v>
      </c>
      <c r="H43" s="8" t="s">
        <v>114</v>
      </c>
      <c r="I43" s="8" t="s">
        <v>96</v>
      </c>
      <c r="J43" s="8" t="s">
        <v>64</v>
      </c>
      <c r="K43" s="8" t="n">
        <v>2</v>
      </c>
      <c r="L43" s="12" t="n">
        <v>198.69</v>
      </c>
      <c r="M43" s="13" t="n">
        <v>0.2</v>
      </c>
      <c r="N43" s="12" t="n">
        <v>317.9</v>
      </c>
      <c r="O43" s="12" t="n">
        <v>76.11</v>
      </c>
      <c r="P43" s="8" t="str">
        <f aca="false">TEXT(B43,"mmm-yyyy")</f>
        <v>Feb-2023</v>
      </c>
      <c r="Q43" s="14" t="n">
        <f aca="false">IFERROR(O43/N43,"")</f>
        <v>0.239414910349166</v>
      </c>
      <c r="R43" s="8" t="str">
        <f aca="false">IF(OR(N43&gt;$U$3,N43&lt;$U$2),"Sales Outlier",IF(OR(O43&gt;$U$6,O43&lt;$U$4),"Profit Outlier",""))</f>
        <v/>
      </c>
    </row>
    <row r="44" customFormat="false" ht="15" hidden="false" customHeight="true" outlineLevel="0" collapsed="false">
      <c r="A44" s="8" t="s">
        <v>1327</v>
      </c>
      <c r="B44" s="11" t="n">
        <v>44972</v>
      </c>
      <c r="C44" s="11" t="n">
        <v>44973</v>
      </c>
      <c r="D44" s="8" t="s">
        <v>797</v>
      </c>
      <c r="E44" s="8" t="s">
        <v>52</v>
      </c>
      <c r="F44" s="8" t="s">
        <v>126</v>
      </c>
      <c r="G44" s="8" t="s">
        <v>26</v>
      </c>
      <c r="H44" s="8" t="s">
        <v>45</v>
      </c>
      <c r="I44" s="8" t="s">
        <v>46</v>
      </c>
      <c r="J44" s="8" t="s">
        <v>39</v>
      </c>
      <c r="K44" s="8" t="n">
        <v>2</v>
      </c>
      <c r="L44" s="12" t="n">
        <v>295.57</v>
      </c>
      <c r="M44" s="13" t="n">
        <v>0</v>
      </c>
      <c r="N44" s="12" t="n">
        <v>591.14</v>
      </c>
      <c r="O44" s="12" t="n">
        <v>96.15</v>
      </c>
      <c r="P44" s="8" t="str">
        <f aca="false">TEXT(B44,"mmm-yyyy")</f>
        <v>Feb-2023</v>
      </c>
      <c r="Q44" s="14" t="n">
        <f aca="false">IFERROR(O44/N44,"")</f>
        <v>0.162651825286734</v>
      </c>
      <c r="R44" s="8" t="str">
        <f aca="false">IF(OR(N44&gt;$U$3,N44&lt;$U$2),"Sales Outlier",IF(OR(O44&gt;$U$6,O44&lt;$U$4),"Profit Outlier",""))</f>
        <v/>
      </c>
    </row>
    <row r="45" customFormat="false" ht="15" hidden="false" customHeight="true" outlineLevel="0" collapsed="false">
      <c r="A45" s="8" t="s">
        <v>801</v>
      </c>
      <c r="B45" s="11" t="n">
        <v>44975</v>
      </c>
      <c r="C45" s="11" t="n">
        <v>44982</v>
      </c>
      <c r="D45" s="8" t="s">
        <v>653</v>
      </c>
      <c r="E45" s="8" t="s">
        <v>2285</v>
      </c>
      <c r="F45" s="8" t="s">
        <v>126</v>
      </c>
      <c r="G45" s="8" t="s">
        <v>89</v>
      </c>
      <c r="H45" s="8" t="s">
        <v>37</v>
      </c>
      <c r="I45" s="8" t="s">
        <v>143</v>
      </c>
      <c r="J45" s="8" t="s">
        <v>64</v>
      </c>
      <c r="K45" s="8" t="n">
        <v>2</v>
      </c>
      <c r="L45" s="12" t="n">
        <v>346.9</v>
      </c>
      <c r="M45" s="13" t="n">
        <v>0</v>
      </c>
      <c r="N45" s="12" t="n">
        <v>693.8</v>
      </c>
      <c r="O45" s="12" t="n">
        <v>67.91</v>
      </c>
      <c r="P45" s="8" t="str">
        <f aca="false">TEXT(B45,"mmm-yyyy")</f>
        <v>Feb-2023</v>
      </c>
      <c r="Q45" s="14" t="n">
        <f aca="false">IFERROR(O45/N45,"")</f>
        <v>0.0978812337849524</v>
      </c>
      <c r="R45" s="8" t="str">
        <f aca="false">IF(OR(N45&gt;$U$3,N45&lt;$U$2),"Sales Outlier",IF(OR(O45&gt;$U$6,O45&lt;$U$4),"Profit Outlier",""))</f>
        <v/>
      </c>
    </row>
    <row r="46" customFormat="false" ht="15" hidden="false" customHeight="true" outlineLevel="0" collapsed="false">
      <c r="A46" s="8" t="s">
        <v>1517</v>
      </c>
      <c r="B46" s="11" t="n">
        <v>44976</v>
      </c>
      <c r="C46" s="11" t="n">
        <v>44979</v>
      </c>
      <c r="D46" s="8" t="s">
        <v>1519</v>
      </c>
      <c r="E46" s="8" t="s">
        <v>24</v>
      </c>
      <c r="F46" s="8" t="s">
        <v>147</v>
      </c>
      <c r="G46" s="8" t="s">
        <v>54</v>
      </c>
      <c r="H46" s="8" t="s">
        <v>37</v>
      </c>
      <c r="I46" s="8" t="s">
        <v>38</v>
      </c>
      <c r="J46" s="8" t="s">
        <v>47</v>
      </c>
      <c r="K46" s="8" t="n">
        <v>5</v>
      </c>
      <c r="L46" s="12" t="n">
        <v>765.32</v>
      </c>
      <c r="M46" s="13" t="n">
        <v>0.1</v>
      </c>
      <c r="N46" s="12" t="n">
        <v>3443.94</v>
      </c>
      <c r="O46" s="12" t="n">
        <v>583.55</v>
      </c>
      <c r="P46" s="8" t="str">
        <f aca="false">TEXT(B46,"mmm-yyyy")</f>
        <v>Feb-2023</v>
      </c>
      <c r="Q46" s="14" t="n">
        <f aca="false">IFERROR(O46/N46,"")</f>
        <v>0.169442557071261</v>
      </c>
      <c r="R46" s="8" t="str">
        <f aca="false">IF(OR(N46&gt;$U$3,N46&lt;$U$2),"Sales Outlier",IF(OR(O46&gt;$U$6,O46&lt;$U$4),"Profit Outlier",""))</f>
        <v/>
      </c>
    </row>
    <row r="47" customFormat="false" ht="15" hidden="false" customHeight="true" outlineLevel="0" collapsed="false">
      <c r="A47" s="8" t="s">
        <v>1665</v>
      </c>
      <c r="B47" s="11" t="n">
        <v>44976</v>
      </c>
      <c r="C47" s="11" t="n">
        <v>44981</v>
      </c>
      <c r="D47" s="8" t="s">
        <v>2282</v>
      </c>
      <c r="E47" s="8" t="s">
        <v>52</v>
      </c>
      <c r="F47" s="8" t="s">
        <v>61</v>
      </c>
      <c r="G47" s="8" t="s">
        <v>62</v>
      </c>
      <c r="H47" s="8" t="s">
        <v>45</v>
      </c>
      <c r="I47" s="8" t="s">
        <v>160</v>
      </c>
      <c r="J47" s="8" t="s">
        <v>39</v>
      </c>
      <c r="K47" s="8" t="n">
        <v>2</v>
      </c>
      <c r="L47" s="12" t="n">
        <v>770.91</v>
      </c>
      <c r="M47" s="13" t="n">
        <v>0</v>
      </c>
      <c r="N47" s="12" t="n">
        <v>1541.82</v>
      </c>
      <c r="O47" s="12" t="n">
        <v>-23.58</v>
      </c>
      <c r="P47" s="8" t="str">
        <f aca="false">TEXT(B47,"mmm-yyyy")</f>
        <v>Feb-2023</v>
      </c>
      <c r="Q47" s="14" t="n">
        <f aca="false">IFERROR(O47/N47,"")</f>
        <v>-0.0152936140405495</v>
      </c>
      <c r="R47" s="8" t="str">
        <f aca="false">IF(OR(N47&gt;$U$3,N47&lt;$U$2),"Sales Outlier",IF(OR(O47&gt;$U$6,O47&lt;$U$4),"Profit Outlier",""))</f>
        <v/>
      </c>
    </row>
    <row r="48" customFormat="false" ht="15" hidden="false" customHeight="true" outlineLevel="0" collapsed="false">
      <c r="A48" s="8" t="s">
        <v>782</v>
      </c>
      <c r="B48" s="11" t="n">
        <v>44976</v>
      </c>
      <c r="C48" s="11" t="n">
        <v>44982</v>
      </c>
      <c r="D48" s="8" t="s">
        <v>785</v>
      </c>
      <c r="E48" s="8" t="s">
        <v>24</v>
      </c>
      <c r="F48" s="8" t="s">
        <v>147</v>
      </c>
      <c r="G48" s="8" t="s">
        <v>54</v>
      </c>
      <c r="H48" s="8" t="s">
        <v>45</v>
      </c>
      <c r="I48" s="8" t="s">
        <v>28</v>
      </c>
      <c r="J48" s="8" t="s">
        <v>39</v>
      </c>
      <c r="K48" s="8" t="n">
        <v>1</v>
      </c>
      <c r="L48" s="12" t="n">
        <v>786.01</v>
      </c>
      <c r="M48" s="13" t="n">
        <v>0</v>
      </c>
      <c r="N48" s="12" t="n">
        <v>786.01</v>
      </c>
      <c r="O48" s="12" t="n">
        <v>167.29</v>
      </c>
      <c r="P48" s="8" t="str">
        <f aca="false">TEXT(B48,"mmm-yyyy")</f>
        <v>Feb-2023</v>
      </c>
      <c r="Q48" s="14" t="n">
        <f aca="false">IFERROR(O48/N48,"")</f>
        <v>0.212834442309894</v>
      </c>
      <c r="R48" s="8" t="str">
        <f aca="false">IF(OR(N48&gt;$U$3,N48&lt;$U$2),"Sales Outlier",IF(OR(O48&gt;$U$6,O48&lt;$U$4),"Profit Outlier",""))</f>
        <v/>
      </c>
    </row>
    <row r="49" customFormat="false" ht="15" hidden="false" customHeight="true" outlineLevel="0" collapsed="false">
      <c r="A49" s="8" t="s">
        <v>1292</v>
      </c>
      <c r="B49" s="11" t="n">
        <v>44977</v>
      </c>
      <c r="C49" s="11" t="n">
        <v>44978</v>
      </c>
      <c r="D49" s="8" t="s">
        <v>1295</v>
      </c>
      <c r="E49" s="8" t="s">
        <v>24</v>
      </c>
      <c r="F49" s="8" t="s">
        <v>147</v>
      </c>
      <c r="G49" s="8" t="s">
        <v>215</v>
      </c>
      <c r="H49" s="8" t="s">
        <v>45</v>
      </c>
      <c r="I49" s="8" t="s">
        <v>160</v>
      </c>
      <c r="J49" s="8" t="s">
        <v>47</v>
      </c>
      <c r="K49" s="8" t="n">
        <v>3</v>
      </c>
      <c r="L49" s="12" t="n">
        <v>400.68</v>
      </c>
      <c r="M49" s="13" t="n">
        <v>0</v>
      </c>
      <c r="N49" s="12" t="n">
        <v>1202.04</v>
      </c>
      <c r="O49" s="12" t="n">
        <v>285.12</v>
      </c>
      <c r="P49" s="8" t="str">
        <f aca="false">TEXT(B49,"mmm-yyyy")</f>
        <v>Feb-2023</v>
      </c>
      <c r="Q49" s="14" t="n">
        <f aca="false">IFERROR(O49/N49,"")</f>
        <v>0.237196765498652</v>
      </c>
      <c r="R49" s="8" t="str">
        <f aca="false">IF(OR(N49&gt;$U$3,N49&lt;$U$2),"Sales Outlier",IF(OR(O49&gt;$U$6,O49&lt;$U$4),"Profit Outlier",""))</f>
        <v/>
      </c>
    </row>
    <row r="50" customFormat="false" ht="15" hidden="false" customHeight="true" outlineLevel="0" collapsed="false">
      <c r="A50" s="8" t="s">
        <v>847</v>
      </c>
      <c r="B50" s="11" t="n">
        <v>44978</v>
      </c>
      <c r="C50" s="11" t="n">
        <v>44983</v>
      </c>
      <c r="D50" s="8" t="s">
        <v>850</v>
      </c>
      <c r="E50" s="8" t="s">
        <v>34</v>
      </c>
      <c r="F50" s="8" t="s">
        <v>61</v>
      </c>
      <c r="G50" s="8" t="s">
        <v>76</v>
      </c>
      <c r="H50" s="8" t="s">
        <v>114</v>
      </c>
      <c r="I50" s="8" t="s">
        <v>96</v>
      </c>
      <c r="J50" s="8" t="s">
        <v>39</v>
      </c>
      <c r="K50" s="8" t="n">
        <v>1</v>
      </c>
      <c r="L50" s="12" t="n">
        <v>898.83</v>
      </c>
      <c r="M50" s="13" t="n">
        <v>0</v>
      </c>
      <c r="N50" s="12" t="n">
        <v>898.83</v>
      </c>
      <c r="O50" s="12" t="n">
        <v>-62.17</v>
      </c>
      <c r="P50" s="8" t="str">
        <f aca="false">TEXT(B50,"mmm-yyyy")</f>
        <v>Feb-2023</v>
      </c>
      <c r="Q50" s="14" t="n">
        <f aca="false">IFERROR(O50/N50,"")</f>
        <v>-0.0691676957822948</v>
      </c>
      <c r="R50" s="8" t="str">
        <f aca="false">IF(OR(N50&gt;$U$3,N50&lt;$U$2),"Sales Outlier",IF(OR(O50&gt;$U$6,O50&lt;$U$4),"Profit Outlier",""))</f>
        <v/>
      </c>
    </row>
    <row r="51" customFormat="false" ht="15" hidden="false" customHeight="true" outlineLevel="0" collapsed="false">
      <c r="A51" s="8" t="s">
        <v>306</v>
      </c>
      <c r="B51" s="11" t="n">
        <v>44979</v>
      </c>
      <c r="C51" s="11" t="n">
        <v>44980</v>
      </c>
      <c r="D51" s="8" t="s">
        <v>1529</v>
      </c>
      <c r="E51" s="8" t="s">
        <v>24</v>
      </c>
      <c r="F51" s="8" t="s">
        <v>154</v>
      </c>
      <c r="G51" s="8" t="s">
        <v>182</v>
      </c>
      <c r="H51" s="8" t="s">
        <v>37</v>
      </c>
      <c r="I51" s="8" t="s">
        <v>84</v>
      </c>
      <c r="J51" s="8" t="s">
        <v>47</v>
      </c>
      <c r="K51" s="8" t="n">
        <v>2</v>
      </c>
      <c r="L51" s="12" t="n">
        <v>305.09</v>
      </c>
      <c r="M51" s="13" t="n">
        <v>0</v>
      </c>
      <c r="N51" s="12" t="n">
        <v>305.09</v>
      </c>
      <c r="O51" s="12" t="n">
        <v>104.01</v>
      </c>
      <c r="P51" s="8" t="str">
        <f aca="false">TEXT(B51,"mmm-yyyy")</f>
        <v>Feb-2023</v>
      </c>
      <c r="Q51" s="14" t="n">
        <f aca="false">IFERROR(O51/N51,"")</f>
        <v>0.34091579533908</v>
      </c>
      <c r="R51" s="8" t="str">
        <f aca="false">IF(OR(N51&gt;$U$3,N51&lt;$U$2),"Sales Outlier",IF(OR(O51&gt;$U$6,O51&lt;$U$4),"Profit Outlier",""))</f>
        <v/>
      </c>
    </row>
    <row r="52" customFormat="false" ht="15" hidden="false" customHeight="true" outlineLevel="0" collapsed="false">
      <c r="A52" s="8" t="s">
        <v>2027</v>
      </c>
      <c r="B52" s="11" t="n">
        <v>44979</v>
      </c>
      <c r="C52" s="11" t="n">
        <v>44981</v>
      </c>
      <c r="D52" s="8" t="s">
        <v>1047</v>
      </c>
      <c r="E52" s="8" t="s">
        <v>34</v>
      </c>
      <c r="F52" s="8" t="s">
        <v>154</v>
      </c>
      <c r="G52" s="8" t="s">
        <v>119</v>
      </c>
      <c r="H52" s="8" t="s">
        <v>45</v>
      </c>
      <c r="I52" s="8" t="s">
        <v>149</v>
      </c>
      <c r="J52" s="8" t="s">
        <v>64</v>
      </c>
      <c r="K52" s="8" t="n">
        <v>2</v>
      </c>
      <c r="L52" s="12" t="n">
        <v>752.36</v>
      </c>
      <c r="M52" s="13" t="n">
        <v>0</v>
      </c>
      <c r="N52" s="12" t="n">
        <v>752.36</v>
      </c>
      <c r="O52" s="12" t="n">
        <v>254.23</v>
      </c>
      <c r="P52" s="8" t="str">
        <f aca="false">TEXT(B52,"mmm-yyyy")</f>
        <v>Feb-2023</v>
      </c>
      <c r="Q52" s="14" t="n">
        <f aca="false">IFERROR(O52/N52,"")</f>
        <v>0.33791004306449</v>
      </c>
      <c r="R52" s="8" t="str">
        <f aca="false">IF(OR(N52&gt;$U$3,N52&lt;$U$2),"Sales Outlier",IF(OR(O52&gt;$U$6,O52&lt;$U$4),"Profit Outlier",""))</f>
        <v/>
      </c>
    </row>
    <row r="53" customFormat="false" ht="15" hidden="false" customHeight="true" outlineLevel="0" collapsed="false">
      <c r="A53" s="8" t="s">
        <v>920</v>
      </c>
      <c r="B53" s="11" t="n">
        <v>44980</v>
      </c>
      <c r="C53" s="11" t="n">
        <v>44986</v>
      </c>
      <c r="D53" s="8" t="s">
        <v>923</v>
      </c>
      <c r="E53" s="8" t="s">
        <v>52</v>
      </c>
      <c r="F53" s="8" t="s">
        <v>154</v>
      </c>
      <c r="G53" s="8" t="s">
        <v>102</v>
      </c>
      <c r="H53" s="8" t="s">
        <v>37</v>
      </c>
      <c r="I53" s="8" t="s">
        <v>84</v>
      </c>
      <c r="J53" s="8" t="s">
        <v>29</v>
      </c>
      <c r="K53" s="8" t="n">
        <v>1</v>
      </c>
      <c r="L53" s="12" t="n">
        <v>922.03</v>
      </c>
      <c r="M53" s="13" t="n">
        <v>0.05</v>
      </c>
      <c r="N53" s="12" t="n">
        <v>875.93</v>
      </c>
      <c r="O53" s="12" t="n">
        <v>103.95</v>
      </c>
      <c r="P53" s="8" t="str">
        <f aca="false">TEXT(B53,"mmm-yyyy")</f>
        <v>Feb-2023</v>
      </c>
      <c r="Q53" s="14" t="n">
        <f aca="false">IFERROR(O53/N53,"")</f>
        <v>0.118673866633178</v>
      </c>
      <c r="R53" s="8" t="str">
        <f aca="false">IF(OR(N53&gt;$U$3,N53&lt;$U$2),"Sales Outlier",IF(OR(O53&gt;$U$6,O53&lt;$U$4),"Profit Outlier",""))</f>
        <v/>
      </c>
    </row>
    <row r="54" customFormat="false" ht="15" hidden="false" customHeight="true" outlineLevel="0" collapsed="false">
      <c r="A54" s="8" t="s">
        <v>1496</v>
      </c>
      <c r="B54" s="11" t="n">
        <v>44982</v>
      </c>
      <c r="C54" s="11" t="n">
        <v>44988</v>
      </c>
      <c r="D54" s="8" t="s">
        <v>1499</v>
      </c>
      <c r="E54" s="8" t="s">
        <v>52</v>
      </c>
      <c r="F54" s="8" t="s">
        <v>147</v>
      </c>
      <c r="G54" s="8" t="s">
        <v>54</v>
      </c>
      <c r="H54" s="8" t="s">
        <v>114</v>
      </c>
      <c r="I54" s="8" t="s">
        <v>115</v>
      </c>
      <c r="J54" s="8" t="s">
        <v>29</v>
      </c>
      <c r="K54" s="8" t="n">
        <v>4</v>
      </c>
      <c r="L54" s="12" t="n">
        <v>294.49</v>
      </c>
      <c r="M54" s="13" t="n">
        <v>0.2</v>
      </c>
      <c r="N54" s="12" t="n">
        <v>6212.69</v>
      </c>
      <c r="O54" s="12" t="n">
        <v>93.35</v>
      </c>
      <c r="P54" s="8" t="str">
        <f aca="false">TEXT(B54,"mmm-yyyy")</f>
        <v>Feb-2023</v>
      </c>
      <c r="Q54" s="14" t="n">
        <f aca="false">IFERROR(O54/N54,"")</f>
        <v>0.0150256974032183</v>
      </c>
      <c r="R54" s="8" t="str">
        <f aca="false">IF(OR(N54&gt;$U$3,N54&lt;$U$2),"Sales Outlier",IF(OR(O54&gt;$U$6,O54&lt;$U$4),"Profit Outlier",""))</f>
        <v/>
      </c>
    </row>
    <row r="55" customFormat="false" ht="15" hidden="false" customHeight="true" outlineLevel="0" collapsed="false">
      <c r="A55" s="8" t="s">
        <v>1256</v>
      </c>
      <c r="B55" s="11" t="n">
        <v>44985</v>
      </c>
      <c r="C55" s="11" t="n">
        <v>44992</v>
      </c>
      <c r="D55" s="8" t="s">
        <v>1259</v>
      </c>
      <c r="E55" s="8" t="s">
        <v>2285</v>
      </c>
      <c r="F55" s="8" t="s">
        <v>147</v>
      </c>
      <c r="G55" s="8" t="s">
        <v>215</v>
      </c>
      <c r="H55" s="8" t="s">
        <v>37</v>
      </c>
      <c r="I55" s="8" t="s">
        <v>84</v>
      </c>
      <c r="J55" s="8" t="s">
        <v>47</v>
      </c>
      <c r="K55" s="8" t="n">
        <v>5</v>
      </c>
      <c r="L55" s="12" t="n">
        <v>1039.56</v>
      </c>
      <c r="M55" s="13" t="n">
        <v>0</v>
      </c>
      <c r="N55" s="12" t="n">
        <v>5197.8</v>
      </c>
      <c r="O55" s="12" t="n">
        <v>819.54</v>
      </c>
      <c r="P55" s="8" t="str">
        <f aca="false">TEXT(B55,"mmm-yyyy")</f>
        <v>Feb-2023</v>
      </c>
      <c r="Q55" s="14" t="n">
        <f aca="false">IFERROR(O55/N55,"")</f>
        <v>0.157670552926238</v>
      </c>
      <c r="R55" s="8" t="str">
        <f aca="false">IF(OR(N55&gt;$U$3,N55&lt;$U$2),"Sales Outlier",IF(OR(O55&gt;$U$6,O55&lt;$U$4),"Profit Outlier",""))</f>
        <v/>
      </c>
    </row>
    <row r="56" customFormat="false" ht="15" hidden="false" customHeight="true" outlineLevel="0" collapsed="false">
      <c r="A56" s="8" t="s">
        <v>1088</v>
      </c>
      <c r="B56" s="11" t="n">
        <v>44988</v>
      </c>
      <c r="C56" s="11" t="n">
        <v>45141</v>
      </c>
      <c r="D56" s="8" t="s">
        <v>1091</v>
      </c>
      <c r="E56" s="8" t="s">
        <v>34</v>
      </c>
      <c r="F56" s="8" t="s">
        <v>126</v>
      </c>
      <c r="G56" s="8" t="s">
        <v>82</v>
      </c>
      <c r="H56" s="8" t="s">
        <v>37</v>
      </c>
      <c r="I56" s="8" t="s">
        <v>84</v>
      </c>
      <c r="J56" s="8" t="s">
        <v>47</v>
      </c>
      <c r="K56" s="8" t="n">
        <v>5</v>
      </c>
      <c r="L56" s="12" t="n">
        <v>369.93</v>
      </c>
      <c r="M56" s="13" t="n">
        <v>0.2</v>
      </c>
      <c r="N56" s="12" t="n">
        <v>1479.72</v>
      </c>
      <c r="O56" s="12" t="n">
        <v>11.75</v>
      </c>
      <c r="P56" s="8" t="str">
        <f aca="false">TEXT(B56,"mmm-yyyy")</f>
        <v>Mar-2023</v>
      </c>
      <c r="Q56" s="14" t="n">
        <f aca="false">IFERROR(O56/N56,"")</f>
        <v>0.0079406914821723</v>
      </c>
      <c r="R56" s="8" t="str">
        <f aca="false">IF(OR(N56&gt;$U$3,N56&lt;$U$2),"Sales Outlier",IF(OR(O56&gt;$U$6,O56&lt;$U$4),"Profit Outlier",""))</f>
        <v/>
      </c>
    </row>
    <row r="57" customFormat="false" ht="15" hidden="false" customHeight="true" outlineLevel="0" collapsed="false">
      <c r="A57" s="8" t="s">
        <v>1121</v>
      </c>
      <c r="B57" s="11" t="n">
        <v>44991</v>
      </c>
      <c r="C57" s="11" t="n">
        <v>44995</v>
      </c>
      <c r="D57" s="8" t="s">
        <v>1123</v>
      </c>
      <c r="E57" s="8" t="s">
        <v>24</v>
      </c>
      <c r="F57" s="8" t="s">
        <v>147</v>
      </c>
      <c r="G57" s="8" t="s">
        <v>215</v>
      </c>
      <c r="H57" s="8" t="s">
        <v>37</v>
      </c>
      <c r="I57" s="8" t="s">
        <v>38</v>
      </c>
      <c r="J57" s="8" t="s">
        <v>47</v>
      </c>
      <c r="K57" s="8" t="n">
        <v>1</v>
      </c>
      <c r="L57" s="12" t="n">
        <v>491.77</v>
      </c>
      <c r="M57" s="13" t="n">
        <v>0</v>
      </c>
      <c r="N57" s="12" t="n">
        <v>491.77</v>
      </c>
      <c r="O57" s="12" t="n">
        <v>135.56</v>
      </c>
      <c r="P57" s="8" t="str">
        <f aca="false">TEXT(B57,"mmm-yyyy")</f>
        <v>Mar-2023</v>
      </c>
      <c r="Q57" s="14" t="n">
        <f aca="false">IFERROR(O57/N57,"")</f>
        <v>0.275657319478618</v>
      </c>
      <c r="R57" s="8" t="str">
        <f aca="false">IF(OR(N57&gt;$U$3,N57&lt;$U$2),"Sales Outlier",IF(OR(O57&gt;$U$6,O57&lt;$U$4),"Profit Outlier",""))</f>
        <v/>
      </c>
    </row>
    <row r="58" customFormat="false" ht="15" hidden="false" customHeight="true" outlineLevel="0" collapsed="false">
      <c r="A58" s="8" t="s">
        <v>246</v>
      </c>
      <c r="B58" s="11" t="n">
        <v>44992</v>
      </c>
      <c r="C58" s="11" t="n">
        <v>45023</v>
      </c>
      <c r="D58" s="8" t="s">
        <v>249</v>
      </c>
      <c r="E58" s="8" t="s">
        <v>2285</v>
      </c>
      <c r="F58" s="8" t="s">
        <v>126</v>
      </c>
      <c r="G58" s="8" t="s">
        <v>82</v>
      </c>
      <c r="H58" s="8" t="s">
        <v>77</v>
      </c>
      <c r="I58" s="8" t="s">
        <v>121</v>
      </c>
      <c r="J58" s="8" t="s">
        <v>64</v>
      </c>
      <c r="K58" s="8" t="n">
        <v>1</v>
      </c>
      <c r="L58" s="12" t="n">
        <v>119.78</v>
      </c>
      <c r="M58" s="13" t="n">
        <v>0.15</v>
      </c>
      <c r="N58" s="12" t="n">
        <v>101.81</v>
      </c>
      <c r="O58" s="12" t="n">
        <v>-8.62</v>
      </c>
      <c r="P58" s="8" t="str">
        <f aca="false">TEXT(B58,"mmm-yyyy")</f>
        <v>Mar-2023</v>
      </c>
      <c r="Q58" s="14" t="n">
        <f aca="false">IFERROR(O58/N58,"")</f>
        <v>-0.0846675179255476</v>
      </c>
      <c r="R58" s="8" t="str">
        <f aca="false">IF(OR(N58&gt;$U$3,N58&lt;$U$2),"Sales Outlier",IF(OR(O58&gt;$U$6,O58&lt;$U$4),"Profit Outlier",""))</f>
        <v/>
      </c>
    </row>
    <row r="59" customFormat="false" ht="15" hidden="false" customHeight="true" outlineLevel="0" collapsed="false">
      <c r="A59" s="8" t="s">
        <v>1800</v>
      </c>
      <c r="B59" s="11" t="n">
        <v>44992</v>
      </c>
      <c r="C59" s="11" t="n">
        <v>44996</v>
      </c>
      <c r="D59" s="8" t="s">
        <v>681</v>
      </c>
      <c r="E59" s="8" t="s">
        <v>52</v>
      </c>
      <c r="F59" s="8" t="s">
        <v>154</v>
      </c>
      <c r="G59" s="8" t="s">
        <v>102</v>
      </c>
      <c r="H59" s="8" t="s">
        <v>45</v>
      </c>
      <c r="I59" s="8" t="s">
        <v>149</v>
      </c>
      <c r="J59" s="8" t="s">
        <v>29</v>
      </c>
      <c r="K59" s="8" t="n">
        <v>4</v>
      </c>
      <c r="L59" s="12" t="n">
        <v>1077.98</v>
      </c>
      <c r="M59" s="13" t="n">
        <v>0</v>
      </c>
      <c r="N59" s="12" t="n">
        <v>4311.92</v>
      </c>
      <c r="O59" s="12" t="n">
        <v>-373.1</v>
      </c>
      <c r="P59" s="8" t="str">
        <f aca="false">TEXT(B59,"mmm-yyyy")</f>
        <v>Mar-2023</v>
      </c>
      <c r="Q59" s="14" t="n">
        <f aca="false">IFERROR(O59/N59,"")</f>
        <v>-0.0865275793613982</v>
      </c>
      <c r="R59" s="8" t="str">
        <f aca="false">IF(OR(N59&gt;$U$3,N59&lt;$U$2),"Sales Outlier",IF(OR(O59&gt;$U$6,O59&lt;$U$4),"Profit Outlier",""))</f>
        <v/>
      </c>
    </row>
    <row r="60" customFormat="false" ht="15" hidden="false" customHeight="true" outlineLevel="0" collapsed="false">
      <c r="A60" s="8" t="s">
        <v>895</v>
      </c>
      <c r="B60" s="11" t="n">
        <v>44993</v>
      </c>
      <c r="C60" s="11" t="n">
        <v>44997</v>
      </c>
      <c r="D60" s="8" t="s">
        <v>898</v>
      </c>
      <c r="E60" s="8" t="s">
        <v>52</v>
      </c>
      <c r="F60" s="8" t="s">
        <v>126</v>
      </c>
      <c r="G60" s="8" t="s">
        <v>89</v>
      </c>
      <c r="H60" s="8" t="s">
        <v>114</v>
      </c>
      <c r="I60" s="8" t="s">
        <v>115</v>
      </c>
      <c r="J60" s="8" t="s">
        <v>64</v>
      </c>
      <c r="K60" s="8" t="n">
        <v>4</v>
      </c>
      <c r="L60" s="12" t="n">
        <v>546.67</v>
      </c>
      <c r="M60" s="13" t="n">
        <v>0</v>
      </c>
      <c r="N60" s="12" t="n">
        <v>2186.68</v>
      </c>
      <c r="O60" s="12" t="n">
        <v>346.82</v>
      </c>
      <c r="P60" s="8" t="str">
        <f aca="false">TEXT(B60,"mmm-yyyy")</f>
        <v>Mar-2023</v>
      </c>
      <c r="Q60" s="14" t="n">
        <f aca="false">IFERROR(O60/N60,"")</f>
        <v>0.158605740208901</v>
      </c>
      <c r="R60" s="8" t="str">
        <f aca="false">IF(OR(N60&gt;$U$3,N60&lt;$U$2),"Sales Outlier",IF(OR(O60&gt;$U$6,O60&lt;$U$4),"Profit Outlier",""))</f>
        <v/>
      </c>
    </row>
    <row r="61" customFormat="false" ht="15" hidden="false" customHeight="true" outlineLevel="0" collapsed="false">
      <c r="A61" s="8" t="s">
        <v>578</v>
      </c>
      <c r="B61" s="11" t="n">
        <v>44995</v>
      </c>
      <c r="C61" s="11" t="n">
        <v>44996</v>
      </c>
      <c r="D61" s="8" t="s">
        <v>581</v>
      </c>
      <c r="E61" s="8" t="s">
        <v>2285</v>
      </c>
      <c r="F61" s="8" t="s">
        <v>154</v>
      </c>
      <c r="G61" s="8" t="s">
        <v>119</v>
      </c>
      <c r="H61" s="8" t="s">
        <v>114</v>
      </c>
      <c r="I61" s="8" t="s">
        <v>201</v>
      </c>
      <c r="J61" s="8" t="s">
        <v>39</v>
      </c>
      <c r="K61" s="8" t="n">
        <v>3</v>
      </c>
      <c r="L61" s="12" t="n">
        <v>387.1</v>
      </c>
      <c r="M61" s="13" t="n">
        <v>0</v>
      </c>
      <c r="N61" s="12" t="n">
        <v>1161.3</v>
      </c>
      <c r="O61" s="12" t="n">
        <v>294.91</v>
      </c>
      <c r="P61" s="8" t="str">
        <f aca="false">TEXT(B61,"mmm-yyyy")</f>
        <v>Mar-2023</v>
      </c>
      <c r="Q61" s="14" t="n">
        <f aca="false">IFERROR(O61/N61,"")</f>
        <v>0.253948161543098</v>
      </c>
      <c r="R61" s="8" t="str">
        <f aca="false">IF(OR(N61&gt;$U$3,N61&lt;$U$2),"Sales Outlier",IF(OR(O61&gt;$U$6,O61&lt;$U$4),"Profit Outlier",""))</f>
        <v/>
      </c>
    </row>
    <row r="62" customFormat="false" ht="15" hidden="false" customHeight="true" outlineLevel="0" collapsed="false">
      <c r="A62" s="8" t="s">
        <v>1282</v>
      </c>
      <c r="B62" s="11" t="n">
        <v>44996</v>
      </c>
      <c r="C62" s="11" t="n">
        <v>45002</v>
      </c>
      <c r="D62" s="8" t="s">
        <v>1285</v>
      </c>
      <c r="E62" s="8" t="s">
        <v>2285</v>
      </c>
      <c r="F62" s="8" t="s">
        <v>147</v>
      </c>
      <c r="G62" s="8" t="s">
        <v>326</v>
      </c>
      <c r="H62" s="8" t="s">
        <v>132</v>
      </c>
      <c r="I62" s="8" t="s">
        <v>104</v>
      </c>
      <c r="J62" s="8" t="s">
        <v>64</v>
      </c>
      <c r="K62" s="8" t="n">
        <v>2</v>
      </c>
      <c r="L62" s="12" t="n">
        <v>1011.84</v>
      </c>
      <c r="M62" s="13" t="n">
        <v>0.05</v>
      </c>
      <c r="N62" s="12" t="n">
        <v>6212.69</v>
      </c>
      <c r="O62" s="12" t="n">
        <v>993.15</v>
      </c>
      <c r="P62" s="8" t="str">
        <f aca="false">TEXT(B62,"mmm-yyyy")</f>
        <v>Mar-2023</v>
      </c>
      <c r="Q62" s="14" t="n">
        <f aca="false">IFERROR(O62/N62,"")</f>
        <v>0.159858290048272</v>
      </c>
      <c r="R62" s="8" t="str">
        <f aca="false">IF(OR(N62&gt;$U$3,N62&lt;$U$2),"Sales Outlier",IF(OR(O62&gt;$U$6,O62&lt;$U$4),"Profit Outlier",""))</f>
        <v/>
      </c>
    </row>
    <row r="63" customFormat="false" ht="15" hidden="false" customHeight="true" outlineLevel="0" collapsed="false">
      <c r="A63" s="8" t="s">
        <v>2221</v>
      </c>
      <c r="B63" s="11" t="n">
        <v>44997</v>
      </c>
      <c r="C63" s="11" t="n">
        <v>45150</v>
      </c>
      <c r="D63" s="8" t="s">
        <v>2289</v>
      </c>
      <c r="E63" s="8" t="s">
        <v>24</v>
      </c>
      <c r="F63" s="8" t="s">
        <v>154</v>
      </c>
      <c r="G63" s="8" t="s">
        <v>119</v>
      </c>
      <c r="H63" s="8" t="s">
        <v>77</v>
      </c>
      <c r="I63" s="8" t="s">
        <v>71</v>
      </c>
      <c r="J63" s="8" t="s">
        <v>39</v>
      </c>
      <c r="K63" s="8" t="n">
        <v>5</v>
      </c>
      <c r="L63" s="12" t="n">
        <v>230.06</v>
      </c>
      <c r="M63" s="13" t="n">
        <v>0</v>
      </c>
      <c r="N63" s="12" t="n">
        <v>1150.3</v>
      </c>
      <c r="O63" s="12" t="n">
        <v>312.78</v>
      </c>
      <c r="P63" s="8" t="str">
        <f aca="false">TEXT(B63,"mmm-yyyy")</f>
        <v>Mar-2023</v>
      </c>
      <c r="Q63" s="14" t="n">
        <f aca="false">IFERROR(O63/N63,"")</f>
        <v>0.271911675215161</v>
      </c>
      <c r="R63" s="8" t="str">
        <f aca="false">IF(OR(N63&gt;$U$3,N63&lt;$U$2),"Sales Outlier",IF(OR(O63&gt;$U$6,O63&lt;$U$4),"Profit Outlier",""))</f>
        <v/>
      </c>
    </row>
    <row r="64" customFormat="false" ht="15" hidden="false" customHeight="true" outlineLevel="0" collapsed="false">
      <c r="A64" s="8" t="s">
        <v>1604</v>
      </c>
      <c r="B64" s="11" t="n">
        <v>44998</v>
      </c>
      <c r="C64" s="11" t="n">
        <v>45003</v>
      </c>
      <c r="D64" s="8" t="s">
        <v>806</v>
      </c>
      <c r="E64" s="8" t="s">
        <v>52</v>
      </c>
      <c r="F64" s="8" t="s">
        <v>126</v>
      </c>
      <c r="G64" s="8" t="s">
        <v>26</v>
      </c>
      <c r="H64" s="8" t="s">
        <v>77</v>
      </c>
      <c r="I64" s="8" t="s">
        <v>425</v>
      </c>
      <c r="J64" s="8" t="s">
        <v>64</v>
      </c>
      <c r="K64" s="8" t="n">
        <v>5</v>
      </c>
      <c r="L64" s="12" t="n">
        <v>1013.64</v>
      </c>
      <c r="M64" s="13" t="n">
        <v>0</v>
      </c>
      <c r="N64" s="12" t="n">
        <v>5068.2</v>
      </c>
      <c r="O64" s="12" t="n">
        <v>993.15</v>
      </c>
      <c r="P64" s="8" t="str">
        <f aca="false">TEXT(B64,"mmm-yyyy")</f>
        <v>Mar-2023</v>
      </c>
      <c r="Q64" s="14" t="n">
        <f aca="false">IFERROR(O64/N64,"")</f>
        <v>0.19595714454836</v>
      </c>
      <c r="R64" s="8" t="str">
        <f aca="false">IF(OR(N64&gt;$U$3,N64&lt;$U$2),"Sales Outlier",IF(OR(O64&gt;$U$6,O64&lt;$U$4),"Profit Outlier",""))</f>
        <v/>
      </c>
    </row>
    <row r="65" customFormat="false" ht="15" hidden="false" customHeight="true" outlineLevel="0" collapsed="false">
      <c r="A65" s="8" t="s">
        <v>1442</v>
      </c>
      <c r="B65" s="11" t="n">
        <v>44998</v>
      </c>
      <c r="C65" s="11" t="n">
        <v>45002</v>
      </c>
      <c r="D65" s="8" t="s">
        <v>468</v>
      </c>
      <c r="E65" s="8" t="s">
        <v>52</v>
      </c>
      <c r="F65" s="8" t="s">
        <v>147</v>
      </c>
      <c r="G65" s="8" t="s">
        <v>215</v>
      </c>
      <c r="H65" s="8" t="s">
        <v>45</v>
      </c>
      <c r="I65" s="8" t="s">
        <v>160</v>
      </c>
      <c r="J65" s="8" t="s">
        <v>39</v>
      </c>
      <c r="K65" s="8" t="n">
        <v>1</v>
      </c>
      <c r="L65" s="12" t="n">
        <v>408.18</v>
      </c>
      <c r="M65" s="13" t="n">
        <v>0</v>
      </c>
      <c r="N65" s="12" t="n">
        <v>408.18</v>
      </c>
      <c r="O65" s="12" t="n">
        <v>-26.17</v>
      </c>
      <c r="P65" s="8" t="str">
        <f aca="false">TEXT(B65,"mmm-yyyy")</f>
        <v>Mar-2023</v>
      </c>
      <c r="Q65" s="14" t="n">
        <f aca="false">IFERROR(O65/N65,"")</f>
        <v>-0.0641138713312754</v>
      </c>
      <c r="R65" s="8" t="str">
        <f aca="false">IF(OR(N65&gt;$U$3,N65&lt;$U$2),"Sales Outlier",IF(OR(O65&gt;$U$6,O65&lt;$U$4),"Profit Outlier",""))</f>
        <v/>
      </c>
    </row>
    <row r="66" customFormat="false" ht="15" hidden="false" customHeight="true" outlineLevel="0" collapsed="false">
      <c r="A66" s="8" t="s">
        <v>701</v>
      </c>
      <c r="B66" s="11" t="n">
        <v>44999</v>
      </c>
      <c r="C66" s="11" t="n">
        <v>45004</v>
      </c>
      <c r="D66" s="8" t="s">
        <v>704</v>
      </c>
      <c r="E66" s="8" t="s">
        <v>24</v>
      </c>
      <c r="F66" s="8" t="s">
        <v>147</v>
      </c>
      <c r="G66" s="8" t="s">
        <v>54</v>
      </c>
      <c r="H66" s="8" t="s">
        <v>45</v>
      </c>
      <c r="I66" s="8" t="s">
        <v>28</v>
      </c>
      <c r="J66" s="8" t="s">
        <v>64</v>
      </c>
      <c r="K66" s="8" t="n">
        <v>4</v>
      </c>
      <c r="L66" s="12" t="n">
        <v>707</v>
      </c>
      <c r="M66" s="13" t="n">
        <v>0</v>
      </c>
      <c r="N66" s="12" t="n">
        <v>2828</v>
      </c>
      <c r="O66" s="12" t="n">
        <v>-245.27</v>
      </c>
      <c r="P66" s="8" t="str">
        <f aca="false">TEXT(B66,"mmm-yyyy")</f>
        <v>Mar-2023</v>
      </c>
      <c r="Q66" s="14" t="n">
        <f aca="false">IFERROR(O66/N66,"")</f>
        <v>-0.0867291371994342</v>
      </c>
      <c r="R66" s="8" t="str">
        <f aca="false">IF(OR(N66&gt;$U$3,N66&lt;$U$2),"Sales Outlier",IF(OR(O66&gt;$U$6,O66&lt;$U$4),"Profit Outlier",""))</f>
        <v/>
      </c>
    </row>
    <row r="67" customFormat="false" ht="15" hidden="false" customHeight="true" outlineLevel="0" collapsed="false">
      <c r="A67" s="8" t="s">
        <v>1810</v>
      </c>
      <c r="B67" s="11" t="n">
        <v>44999</v>
      </c>
      <c r="C67" s="11" t="n">
        <v>45001</v>
      </c>
      <c r="D67" s="8" t="s">
        <v>1813</v>
      </c>
      <c r="E67" s="8" t="s">
        <v>24</v>
      </c>
      <c r="F67" s="8" t="s">
        <v>154</v>
      </c>
      <c r="G67" s="8" t="s">
        <v>119</v>
      </c>
      <c r="H67" s="8" t="s">
        <v>77</v>
      </c>
      <c r="I67" s="8" t="s">
        <v>425</v>
      </c>
      <c r="J67" s="8" t="s">
        <v>64</v>
      </c>
      <c r="K67" s="8" t="n">
        <v>2</v>
      </c>
      <c r="L67" s="12" t="n">
        <v>302.05</v>
      </c>
      <c r="M67" s="13" t="n">
        <v>0.1</v>
      </c>
      <c r="N67" s="12" t="n">
        <v>543.69</v>
      </c>
      <c r="O67" s="12" t="n">
        <v>70.23</v>
      </c>
      <c r="P67" s="8" t="str">
        <f aca="false">TEXT(B67,"mmm-yyyy")</f>
        <v>Mar-2023</v>
      </c>
      <c r="Q67" s="14" t="n">
        <f aca="false">IFERROR(O67/N67,"")</f>
        <v>0.129172874248193</v>
      </c>
      <c r="R67" s="8" t="str">
        <f aca="false">IF(OR(N67&gt;$U$3,N67&lt;$U$2),"Sales Outlier",IF(OR(O67&gt;$U$6,O67&lt;$U$4),"Profit Outlier",""))</f>
        <v/>
      </c>
    </row>
    <row r="68" customFormat="false" ht="15" hidden="false" customHeight="true" outlineLevel="0" collapsed="false">
      <c r="A68" s="8" t="s">
        <v>1314</v>
      </c>
      <c r="B68" s="11" t="n">
        <v>45001</v>
      </c>
      <c r="C68" s="11" t="n">
        <v>45003</v>
      </c>
      <c r="D68" s="8" t="s">
        <v>1074</v>
      </c>
      <c r="E68" s="8" t="s">
        <v>2285</v>
      </c>
      <c r="F68" s="8" t="s">
        <v>154</v>
      </c>
      <c r="G68" s="8" t="s">
        <v>119</v>
      </c>
      <c r="H68" s="8" t="s">
        <v>132</v>
      </c>
      <c r="I68" s="8" t="s">
        <v>220</v>
      </c>
      <c r="J68" s="8" t="s">
        <v>47</v>
      </c>
      <c r="K68" s="8" t="n">
        <v>5</v>
      </c>
      <c r="L68" s="12" t="n">
        <v>194.06</v>
      </c>
      <c r="M68" s="13" t="n">
        <v>0.15</v>
      </c>
      <c r="N68" s="12" t="n">
        <v>824.75</v>
      </c>
      <c r="O68" s="12" t="n">
        <v>-50.62</v>
      </c>
      <c r="P68" s="8" t="str">
        <f aca="false">TEXT(B68,"mmm-yyyy")</f>
        <v>Mar-2023</v>
      </c>
      <c r="Q68" s="14" t="n">
        <f aca="false">IFERROR(O68/N68,"")</f>
        <v>-0.0613761745983631</v>
      </c>
      <c r="R68" s="8" t="str">
        <f aca="false">IF(OR(N68&gt;$U$3,N68&lt;$U$2),"Sales Outlier",IF(OR(O68&gt;$U$6,O68&lt;$U$4),"Profit Outlier",""))</f>
        <v/>
      </c>
    </row>
    <row r="69" customFormat="false" ht="15" hidden="false" customHeight="true" outlineLevel="0" collapsed="false">
      <c r="A69" s="8" t="s">
        <v>2084</v>
      </c>
      <c r="B69" s="11" t="n">
        <v>45001</v>
      </c>
      <c r="C69" s="11" t="n">
        <v>45005</v>
      </c>
      <c r="D69" s="8" t="s">
        <v>2087</v>
      </c>
      <c r="E69" s="8" t="s">
        <v>2285</v>
      </c>
      <c r="F69" s="8" t="s">
        <v>147</v>
      </c>
      <c r="G69" s="8" t="s">
        <v>215</v>
      </c>
      <c r="H69" s="8" t="s">
        <v>132</v>
      </c>
      <c r="I69" s="8" t="s">
        <v>56</v>
      </c>
      <c r="J69" s="8" t="s">
        <v>64</v>
      </c>
      <c r="K69" s="8" t="n">
        <v>2</v>
      </c>
      <c r="L69" s="12" t="n">
        <v>735.47</v>
      </c>
      <c r="M69" s="13" t="n">
        <v>0</v>
      </c>
      <c r="N69" s="12" t="n">
        <v>735.47</v>
      </c>
      <c r="O69" s="12" t="n">
        <v>-57.6</v>
      </c>
      <c r="P69" s="8" t="str">
        <f aca="false">TEXT(B69,"mmm-yyyy")</f>
        <v>Mar-2023</v>
      </c>
      <c r="Q69" s="14" t="n">
        <f aca="false">IFERROR(O69/N69,"")</f>
        <v>-0.0783172665098508</v>
      </c>
      <c r="R69" s="8" t="str">
        <f aca="false">IF(OR(N69&gt;$U$3,N69&lt;$U$2),"Sales Outlier",IF(OR(O69&gt;$U$6,O69&lt;$U$4),"Profit Outlier",""))</f>
        <v/>
      </c>
    </row>
    <row r="70" customFormat="false" ht="15" hidden="false" customHeight="true" outlineLevel="0" collapsed="false">
      <c r="A70" s="8" t="s">
        <v>2040</v>
      </c>
      <c r="B70" s="11" t="n">
        <v>45002</v>
      </c>
      <c r="C70" s="11" t="n">
        <v>45007</v>
      </c>
      <c r="D70" s="8" t="s">
        <v>60</v>
      </c>
      <c r="E70" s="8" t="s">
        <v>2285</v>
      </c>
      <c r="F70" s="8" t="s">
        <v>154</v>
      </c>
      <c r="G70" s="8" t="s">
        <v>102</v>
      </c>
      <c r="H70" s="8" t="s">
        <v>45</v>
      </c>
      <c r="I70" s="8" t="s">
        <v>46</v>
      </c>
      <c r="J70" s="8" t="s">
        <v>64</v>
      </c>
      <c r="K70" s="8" t="n">
        <v>2</v>
      </c>
      <c r="L70" s="12" t="n">
        <v>966.78</v>
      </c>
      <c r="M70" s="13" t="n">
        <v>0.05</v>
      </c>
      <c r="N70" s="12" t="n">
        <v>1836.88</v>
      </c>
      <c r="O70" s="12" t="n">
        <v>63.89</v>
      </c>
      <c r="P70" s="8" t="str">
        <f aca="false">TEXT(B70,"mmm-yyyy")</f>
        <v>Mar-2023</v>
      </c>
      <c r="Q70" s="14" t="n">
        <f aca="false">IFERROR(O70/N70,"")</f>
        <v>0.0347818039284003</v>
      </c>
      <c r="R70" s="8" t="str">
        <f aca="false">IF(OR(N70&gt;$U$3,N70&lt;$U$2),"Sales Outlier",IF(OR(O70&gt;$U$6,O70&lt;$U$4),"Profit Outlier",""))</f>
        <v/>
      </c>
    </row>
    <row r="71" customFormat="false" ht="15" hidden="false" customHeight="true" outlineLevel="0" collapsed="false">
      <c r="A71" s="8" t="s">
        <v>1844</v>
      </c>
      <c r="B71" s="11" t="n">
        <v>45004</v>
      </c>
      <c r="C71" s="11" t="n">
        <v>45011</v>
      </c>
      <c r="D71" s="8" t="s">
        <v>1847</v>
      </c>
      <c r="E71" s="8" t="s">
        <v>2285</v>
      </c>
      <c r="F71" s="8" t="s">
        <v>61</v>
      </c>
      <c r="G71" s="8" t="s">
        <v>76</v>
      </c>
      <c r="H71" s="8" t="s">
        <v>77</v>
      </c>
      <c r="I71" s="8" t="s">
        <v>121</v>
      </c>
      <c r="J71" s="8" t="s">
        <v>64</v>
      </c>
      <c r="K71" s="8" t="n">
        <v>2</v>
      </c>
      <c r="L71" s="12" t="n">
        <v>764.36</v>
      </c>
      <c r="M71" s="13" t="n">
        <v>0</v>
      </c>
      <c r="N71" s="12" t="n">
        <v>764.36</v>
      </c>
      <c r="O71" s="12" t="n">
        <v>138.39</v>
      </c>
      <c r="P71" s="8" t="str">
        <f aca="false">TEXT(B71,"mmm-yyyy")</f>
        <v>Mar-2023</v>
      </c>
      <c r="Q71" s="14" t="n">
        <f aca="false">IFERROR(O71/N71,"")</f>
        <v>0.181053430320791</v>
      </c>
      <c r="R71" s="8" t="str">
        <f aca="false">IF(OR(N71&gt;$U$3,N71&lt;$U$2),"Sales Outlier",IF(OR(O71&gt;$U$6,O71&lt;$U$4),"Profit Outlier",""))</f>
        <v/>
      </c>
    </row>
    <row r="72" customFormat="false" ht="15" hidden="false" customHeight="true" outlineLevel="0" collapsed="false">
      <c r="A72" s="8" t="s">
        <v>360</v>
      </c>
      <c r="B72" s="11" t="n">
        <v>45005</v>
      </c>
      <c r="C72" s="11" t="n">
        <v>45007</v>
      </c>
      <c r="D72" s="8" t="s">
        <v>363</v>
      </c>
      <c r="E72" s="8" t="s">
        <v>34</v>
      </c>
      <c r="F72" s="8" t="s">
        <v>126</v>
      </c>
      <c r="G72" s="8" t="s">
        <v>26</v>
      </c>
      <c r="H72" s="8" t="s">
        <v>77</v>
      </c>
      <c r="I72" s="8" t="s">
        <v>127</v>
      </c>
      <c r="J72" s="8" t="s">
        <v>39</v>
      </c>
      <c r="K72" s="8" t="n">
        <v>1</v>
      </c>
      <c r="L72" s="12" t="n">
        <v>217.13</v>
      </c>
      <c r="M72" s="13" t="n">
        <v>0.1</v>
      </c>
      <c r="N72" s="12" t="n">
        <v>195.42</v>
      </c>
      <c r="O72" s="12" t="n">
        <v>25.24</v>
      </c>
      <c r="P72" s="8" t="str">
        <f aca="false">TEXT(B72,"mmm-yyyy")</f>
        <v>Mar-2023</v>
      </c>
      <c r="Q72" s="14" t="n">
        <f aca="false">IFERROR(O72/N72,"")</f>
        <v>0.129157711595538</v>
      </c>
      <c r="R72" s="8" t="str">
        <f aca="false">IF(OR(N72&gt;$U$3,N72&lt;$U$2),"Sales Outlier",IF(OR(O72&gt;$U$6,O72&lt;$U$4),"Profit Outlier",""))</f>
        <v/>
      </c>
    </row>
    <row r="73" customFormat="false" ht="15" hidden="false" customHeight="true" outlineLevel="0" collapsed="false">
      <c r="A73" s="8" t="s">
        <v>2228</v>
      </c>
      <c r="B73" s="11" t="n">
        <v>45006</v>
      </c>
      <c r="C73" s="11" t="n">
        <v>45012</v>
      </c>
      <c r="D73" s="8" t="s">
        <v>2231</v>
      </c>
      <c r="E73" s="8" t="s">
        <v>34</v>
      </c>
      <c r="F73" s="8" t="s">
        <v>61</v>
      </c>
      <c r="G73" s="8" t="s">
        <v>36</v>
      </c>
      <c r="H73" s="8" t="s">
        <v>37</v>
      </c>
      <c r="I73" s="8" t="s">
        <v>143</v>
      </c>
      <c r="J73" s="8" t="s">
        <v>39</v>
      </c>
      <c r="K73" s="8" t="n">
        <v>5</v>
      </c>
      <c r="L73" s="12" t="n">
        <v>685.03</v>
      </c>
      <c r="M73" s="13" t="n">
        <v>0.05</v>
      </c>
      <c r="N73" s="12" t="n">
        <v>3253.89</v>
      </c>
      <c r="O73" s="12" t="n">
        <v>615.03</v>
      </c>
      <c r="P73" s="8" t="str">
        <f aca="false">TEXT(B73,"mmm-yyyy")</f>
        <v>Mar-2023</v>
      </c>
      <c r="Q73" s="14" t="n">
        <f aca="false">IFERROR(O73/N73,"")</f>
        <v>0.18901376506274</v>
      </c>
      <c r="R73" s="8" t="str">
        <f aca="false">IF(OR(N73&gt;$U$3,N73&lt;$U$2),"Sales Outlier",IF(OR(O73&gt;$U$6,O73&lt;$U$4),"Profit Outlier",""))</f>
        <v/>
      </c>
    </row>
    <row r="74" customFormat="false" ht="15" hidden="false" customHeight="true" outlineLevel="0" collapsed="false">
      <c r="A74" s="8" t="s">
        <v>2132</v>
      </c>
      <c r="B74" s="11" t="n">
        <v>45007</v>
      </c>
      <c r="C74" s="11" t="n">
        <v>45011</v>
      </c>
      <c r="D74" s="8" t="s">
        <v>1569</v>
      </c>
      <c r="E74" s="8" t="s">
        <v>52</v>
      </c>
      <c r="F74" s="8" t="s">
        <v>61</v>
      </c>
      <c r="G74" s="8" t="s">
        <v>62</v>
      </c>
      <c r="H74" s="8" t="s">
        <v>37</v>
      </c>
      <c r="I74" s="8" t="s">
        <v>38</v>
      </c>
      <c r="J74" s="8" t="s">
        <v>47</v>
      </c>
      <c r="K74" s="8" t="n">
        <v>2</v>
      </c>
      <c r="L74" s="12" t="n">
        <v>930.82</v>
      </c>
      <c r="M74" s="13" t="n">
        <v>0.15</v>
      </c>
      <c r="N74" s="12" t="n">
        <v>791.2</v>
      </c>
      <c r="O74" s="12" t="n">
        <v>145.64</v>
      </c>
      <c r="P74" s="8" t="str">
        <f aca="false">TEXT(B74,"mmm-yyyy")</f>
        <v>Mar-2023</v>
      </c>
      <c r="Q74" s="14" t="n">
        <f aca="false">IFERROR(O74/N74,"")</f>
        <v>0.184074823053589</v>
      </c>
      <c r="R74" s="8" t="str">
        <f aca="false">IF(OR(N74&gt;$U$3,N74&lt;$U$2),"Sales Outlier",IF(OR(O74&gt;$U$6,O74&lt;$U$4),"Profit Outlier",""))</f>
        <v/>
      </c>
    </row>
    <row r="75" customFormat="false" ht="15" hidden="false" customHeight="true" outlineLevel="0" collapsed="false">
      <c r="A75" s="8" t="s">
        <v>1506</v>
      </c>
      <c r="B75" s="11" t="n">
        <v>45007</v>
      </c>
      <c r="C75" s="11" t="n">
        <v>45012</v>
      </c>
      <c r="D75" s="8" t="s">
        <v>1509</v>
      </c>
      <c r="E75" s="8" t="s">
        <v>34</v>
      </c>
      <c r="F75" s="8" t="s">
        <v>147</v>
      </c>
      <c r="G75" s="8" t="s">
        <v>215</v>
      </c>
      <c r="H75" s="8" t="s">
        <v>45</v>
      </c>
      <c r="I75" s="8" t="s">
        <v>160</v>
      </c>
      <c r="J75" s="8" t="s">
        <v>29</v>
      </c>
      <c r="K75" s="8" t="n">
        <v>2</v>
      </c>
      <c r="L75" s="12" t="n">
        <v>336.57</v>
      </c>
      <c r="M75" s="13" t="n">
        <v>0.1</v>
      </c>
      <c r="N75" s="12" t="n">
        <v>605.83</v>
      </c>
      <c r="O75" s="12" t="n">
        <v>129.89</v>
      </c>
      <c r="P75" s="8" t="str">
        <f aca="false">TEXT(B75,"mmm-yyyy")</f>
        <v>Mar-2023</v>
      </c>
      <c r="Q75" s="14" t="n">
        <f aca="false">IFERROR(O75/N75,"")</f>
        <v>0.214400079230147</v>
      </c>
      <c r="R75" s="8" t="str">
        <f aca="false">IF(OR(N75&gt;$U$3,N75&lt;$U$2),"Sales Outlier",IF(OR(O75&gt;$U$6,O75&lt;$U$4),"Profit Outlier",""))</f>
        <v/>
      </c>
    </row>
    <row r="76" customFormat="false" ht="15" hidden="false" customHeight="true" outlineLevel="0" collapsed="false">
      <c r="A76" s="8" t="s">
        <v>869</v>
      </c>
      <c r="B76" s="11" t="n">
        <v>45008</v>
      </c>
      <c r="C76" s="11" t="n">
        <v>45009</v>
      </c>
      <c r="D76" s="8" t="s">
        <v>872</v>
      </c>
      <c r="E76" s="8" t="s">
        <v>34</v>
      </c>
      <c r="F76" s="8" t="s">
        <v>147</v>
      </c>
      <c r="G76" s="8" t="s">
        <v>54</v>
      </c>
      <c r="H76" s="8" t="s">
        <v>37</v>
      </c>
      <c r="I76" s="8" t="s">
        <v>527</v>
      </c>
      <c r="J76" s="8" t="s">
        <v>47</v>
      </c>
      <c r="K76" s="8" t="n">
        <v>5</v>
      </c>
      <c r="L76" s="12" t="n">
        <v>909.91</v>
      </c>
      <c r="M76" s="13" t="n">
        <v>0.2</v>
      </c>
      <c r="N76" s="12" t="n">
        <v>3639.64</v>
      </c>
      <c r="O76" s="12" t="n">
        <v>993.15</v>
      </c>
      <c r="P76" s="8" t="str">
        <f aca="false">TEXT(B76,"mmm-yyyy")</f>
        <v>Mar-2023</v>
      </c>
      <c r="Q76" s="14" t="n">
        <f aca="false">IFERROR(O76/N76,"")</f>
        <v>0.272870393775209</v>
      </c>
      <c r="R76" s="8" t="str">
        <f aca="false">IF(OR(N76&gt;$U$3,N76&lt;$U$2),"Sales Outlier",IF(OR(O76&gt;$U$6,O76&lt;$U$4),"Profit Outlier",""))</f>
        <v/>
      </c>
    </row>
    <row r="77" customFormat="false" ht="15" hidden="false" customHeight="true" outlineLevel="0" collapsed="false">
      <c r="A77" s="8" t="s">
        <v>1781</v>
      </c>
      <c r="B77" s="11" t="n">
        <v>45013</v>
      </c>
      <c r="C77" s="11" t="n">
        <v>45015</v>
      </c>
      <c r="D77" s="8" t="s">
        <v>1123</v>
      </c>
      <c r="E77" s="8" t="s">
        <v>2285</v>
      </c>
      <c r="F77" s="8" t="s">
        <v>147</v>
      </c>
      <c r="G77" s="8" t="s">
        <v>326</v>
      </c>
      <c r="H77" s="8" t="s">
        <v>132</v>
      </c>
      <c r="I77" s="8" t="s">
        <v>56</v>
      </c>
      <c r="J77" s="8" t="s">
        <v>29</v>
      </c>
      <c r="K77" s="8" t="n">
        <v>2</v>
      </c>
      <c r="L77" s="12" t="n">
        <v>791.22</v>
      </c>
      <c r="M77" s="13" t="n">
        <v>0.05</v>
      </c>
      <c r="N77" s="12" t="n">
        <v>751.66</v>
      </c>
      <c r="O77" s="12" t="n">
        <v>-14.35</v>
      </c>
      <c r="P77" s="8" t="str">
        <f aca="false">TEXT(B77,"mmm-yyyy")</f>
        <v>Mar-2023</v>
      </c>
      <c r="Q77" s="14" t="n">
        <f aca="false">IFERROR(O77/N77,"")</f>
        <v>-0.0190910784131123</v>
      </c>
      <c r="R77" s="8" t="str">
        <f aca="false">IF(OR(N77&gt;$U$3,N77&lt;$U$2),"Sales Outlier",IF(OR(O77&gt;$U$6,O77&lt;$U$4),"Profit Outlier",""))</f>
        <v/>
      </c>
    </row>
    <row r="78" customFormat="false" ht="15" hidden="false" customHeight="true" outlineLevel="0" collapsed="false">
      <c r="A78" s="8" t="s">
        <v>908</v>
      </c>
      <c r="B78" s="11" t="n">
        <v>45014</v>
      </c>
      <c r="C78" s="11" t="n">
        <v>45018</v>
      </c>
      <c r="D78" s="8" t="s">
        <v>911</v>
      </c>
      <c r="E78" s="8" t="s">
        <v>24</v>
      </c>
      <c r="F78" s="8" t="s">
        <v>61</v>
      </c>
      <c r="G78" s="8" t="s">
        <v>62</v>
      </c>
      <c r="H78" s="8" t="s">
        <v>132</v>
      </c>
      <c r="I78" s="8" t="s">
        <v>104</v>
      </c>
      <c r="J78" s="8" t="s">
        <v>39</v>
      </c>
      <c r="K78" s="8" t="n">
        <v>1</v>
      </c>
      <c r="L78" s="12" t="n">
        <v>660.04</v>
      </c>
      <c r="M78" s="13" t="n">
        <v>0.1</v>
      </c>
      <c r="N78" s="12" t="n">
        <v>594.04</v>
      </c>
      <c r="O78" s="12" t="n">
        <v>46.27</v>
      </c>
      <c r="P78" s="8" t="str">
        <f aca="false">TEXT(B78,"mmm-yyyy")</f>
        <v>Mar-2023</v>
      </c>
      <c r="Q78" s="14" t="n">
        <f aca="false">IFERROR(O78/N78,"")</f>
        <v>0.0778903777523399</v>
      </c>
      <c r="R78" s="8" t="str">
        <f aca="false">IF(OR(N78&gt;$U$3,N78&lt;$U$2),"Sales Outlier",IF(OR(O78&gt;$U$6,O78&lt;$U$4),"Profit Outlier",""))</f>
        <v/>
      </c>
    </row>
    <row r="79" customFormat="false" ht="15" hidden="false" customHeight="true" outlineLevel="0" collapsed="false">
      <c r="A79" s="8" t="s">
        <v>2180</v>
      </c>
      <c r="B79" s="11" t="n">
        <v>45014</v>
      </c>
      <c r="C79" s="11" t="n">
        <v>45020</v>
      </c>
      <c r="D79" s="8" t="s">
        <v>2181</v>
      </c>
      <c r="E79" s="8" t="s">
        <v>2285</v>
      </c>
      <c r="F79" s="8" t="s">
        <v>61</v>
      </c>
      <c r="G79" s="8" t="s">
        <v>36</v>
      </c>
      <c r="H79" s="8" t="s">
        <v>114</v>
      </c>
      <c r="I79" s="8" t="s">
        <v>96</v>
      </c>
      <c r="J79" s="8" t="s">
        <v>64</v>
      </c>
      <c r="K79" s="8" t="n">
        <v>2</v>
      </c>
      <c r="L79" s="12" t="n">
        <v>1054.22</v>
      </c>
      <c r="M79" s="13" t="n">
        <v>0</v>
      </c>
      <c r="N79" s="12" t="n">
        <v>2108.44</v>
      </c>
      <c r="O79" s="12" t="n">
        <v>-54.17</v>
      </c>
      <c r="P79" s="8" t="str">
        <f aca="false">TEXT(B79,"mmm-yyyy")</f>
        <v>Mar-2023</v>
      </c>
      <c r="Q79" s="14" t="n">
        <f aca="false">IFERROR(O79/N79,"")</f>
        <v>-0.0256919808009713</v>
      </c>
      <c r="R79" s="8" t="str">
        <f aca="false">IF(OR(N79&gt;$U$3,N79&lt;$U$2),"Sales Outlier",IF(OR(O79&gt;$U$6,O79&lt;$U$4),"Profit Outlier",""))</f>
        <v/>
      </c>
    </row>
    <row r="80" customFormat="false" ht="15" hidden="false" customHeight="true" outlineLevel="0" collapsed="false">
      <c r="A80" s="8" t="s">
        <v>1698</v>
      </c>
      <c r="B80" s="11" t="n">
        <v>45016</v>
      </c>
      <c r="C80" s="11" t="n">
        <v>45020</v>
      </c>
      <c r="D80" s="8" t="s">
        <v>1700</v>
      </c>
      <c r="E80" s="8" t="s">
        <v>52</v>
      </c>
      <c r="F80" s="8" t="s">
        <v>147</v>
      </c>
      <c r="G80" s="8" t="s">
        <v>326</v>
      </c>
      <c r="H80" s="8" t="s">
        <v>132</v>
      </c>
      <c r="I80" s="8" t="s">
        <v>56</v>
      </c>
      <c r="J80" s="8" t="s">
        <v>39</v>
      </c>
      <c r="K80" s="8" t="n">
        <v>3</v>
      </c>
      <c r="L80" s="12" t="n">
        <v>658.83</v>
      </c>
      <c r="M80" s="13" t="n">
        <v>0</v>
      </c>
      <c r="N80" s="12" t="n">
        <v>1976.49</v>
      </c>
      <c r="O80" s="12" t="n">
        <v>125.5</v>
      </c>
      <c r="P80" s="8" t="str">
        <f aca="false">TEXT(B80,"mmm-yyyy")</f>
        <v>Mar-2023</v>
      </c>
      <c r="Q80" s="14" t="n">
        <f aca="false">IFERROR(O80/N80,"")</f>
        <v>0.0634964001841649</v>
      </c>
      <c r="R80" s="8" t="str">
        <f aca="false">IF(OR(N80&gt;$U$3,N80&lt;$U$2),"Sales Outlier",IF(OR(O80&gt;$U$6,O80&lt;$U$4),"Profit Outlier",""))</f>
        <v/>
      </c>
    </row>
    <row r="81" customFormat="false" ht="15" hidden="false" customHeight="true" outlineLevel="0" collapsed="false">
      <c r="A81" s="8" t="s">
        <v>1449</v>
      </c>
      <c r="B81" s="11" t="n">
        <v>45019</v>
      </c>
      <c r="C81" s="11" t="n">
        <v>45172</v>
      </c>
      <c r="D81" s="8" t="s">
        <v>1031</v>
      </c>
      <c r="E81" s="8" t="s">
        <v>2285</v>
      </c>
      <c r="F81" s="8" t="s">
        <v>61</v>
      </c>
      <c r="G81" s="8" t="s">
        <v>76</v>
      </c>
      <c r="H81" s="8" t="s">
        <v>114</v>
      </c>
      <c r="I81" s="8" t="s">
        <v>201</v>
      </c>
      <c r="J81" s="8" t="s">
        <v>29</v>
      </c>
      <c r="K81" s="8" t="n">
        <v>2</v>
      </c>
      <c r="L81" s="12" t="n">
        <v>499.2</v>
      </c>
      <c r="M81" s="13" t="n">
        <v>0.1</v>
      </c>
      <c r="N81" s="12" t="n">
        <v>898.56</v>
      </c>
      <c r="O81" s="12" t="n">
        <v>303.29</v>
      </c>
      <c r="P81" s="8" t="str">
        <f aca="false">TEXT(B81,"mmm-yyyy")</f>
        <v>Apr-2023</v>
      </c>
      <c r="Q81" s="14" t="n">
        <f aca="false">IFERROR(O81/N81,"")</f>
        <v>0.337528935185185</v>
      </c>
      <c r="R81" s="8" t="str">
        <f aca="false">IF(OR(N81&gt;$U$3,N81&lt;$U$2),"Sales Outlier",IF(OR(O81&gt;$U$6,O81&lt;$U$4),"Profit Outlier",""))</f>
        <v/>
      </c>
    </row>
    <row r="82" customFormat="false" ht="15" hidden="false" customHeight="true" outlineLevel="0" collapsed="false">
      <c r="A82" s="8" t="s">
        <v>105</v>
      </c>
      <c r="B82" s="11" t="n">
        <v>45020</v>
      </c>
      <c r="C82" s="11" t="n">
        <v>45027</v>
      </c>
      <c r="D82" s="8" t="s">
        <v>1023</v>
      </c>
      <c r="E82" s="8" t="s">
        <v>34</v>
      </c>
      <c r="F82" s="8" t="s">
        <v>126</v>
      </c>
      <c r="G82" s="8" t="s">
        <v>82</v>
      </c>
      <c r="H82" s="8" t="s">
        <v>114</v>
      </c>
      <c r="I82" s="8" t="s">
        <v>109</v>
      </c>
      <c r="J82" s="8" t="s">
        <v>64</v>
      </c>
      <c r="K82" s="8" t="n">
        <v>1</v>
      </c>
      <c r="L82" s="12" t="n">
        <v>941.12</v>
      </c>
      <c r="M82" s="13" t="n">
        <v>0.05</v>
      </c>
      <c r="N82" s="12" t="n">
        <v>894.06</v>
      </c>
      <c r="O82" s="12" t="n">
        <v>-34.3</v>
      </c>
      <c r="P82" s="8" t="str">
        <f aca="false">TEXT(B82,"mmm-yyyy")</f>
        <v>Apr-2023</v>
      </c>
      <c r="Q82" s="14" t="n">
        <f aca="false">IFERROR(O82/N82,"")</f>
        <v>-0.0383643155940317</v>
      </c>
      <c r="R82" s="8" t="str">
        <f aca="false">IF(OR(N82&gt;$U$3,N82&lt;$U$2),"Sales Outlier",IF(OR(O82&gt;$U$6,O82&lt;$U$4),"Profit Outlier",""))</f>
        <v/>
      </c>
    </row>
    <row r="83" customFormat="false" ht="15" hidden="false" customHeight="true" outlineLevel="0" collapsed="false">
      <c r="A83" s="8" t="s">
        <v>731</v>
      </c>
      <c r="B83" s="11" t="n">
        <v>45020</v>
      </c>
      <c r="C83" s="11" t="n">
        <v>45021</v>
      </c>
      <c r="D83" s="8" t="s">
        <v>733</v>
      </c>
      <c r="E83" s="8" t="s">
        <v>2285</v>
      </c>
      <c r="F83" s="8" t="s">
        <v>147</v>
      </c>
      <c r="G83" s="8" t="s">
        <v>215</v>
      </c>
      <c r="H83" s="8" t="s">
        <v>114</v>
      </c>
      <c r="I83" s="8" t="s">
        <v>109</v>
      </c>
      <c r="J83" s="8" t="s">
        <v>29</v>
      </c>
      <c r="K83" s="8" t="n">
        <v>1</v>
      </c>
      <c r="L83" s="12" t="n">
        <v>226.76</v>
      </c>
      <c r="M83" s="13" t="n">
        <v>0</v>
      </c>
      <c r="N83" s="12" t="n">
        <v>226.76</v>
      </c>
      <c r="O83" s="12" t="n">
        <v>41.15</v>
      </c>
      <c r="P83" s="8" t="str">
        <f aca="false">TEXT(B83,"mmm-yyyy")</f>
        <v>Apr-2023</v>
      </c>
      <c r="Q83" s="14" t="n">
        <f aca="false">IFERROR(O83/N83,"")</f>
        <v>0.181469394955019</v>
      </c>
      <c r="R83" s="8" t="str">
        <f aca="false">IF(OR(N83&gt;$U$3,N83&lt;$U$2),"Sales Outlier",IF(OR(O83&gt;$U$6,O83&lt;$U$4),"Profit Outlier",""))</f>
        <v/>
      </c>
    </row>
    <row r="84" customFormat="false" ht="15" hidden="false" customHeight="true" outlineLevel="0" collapsed="false">
      <c r="A84" s="8" t="s">
        <v>417</v>
      </c>
      <c r="B84" s="11" t="n">
        <v>45021</v>
      </c>
      <c r="C84" s="11" t="n">
        <v>45022</v>
      </c>
      <c r="D84" s="8" t="s">
        <v>420</v>
      </c>
      <c r="E84" s="8" t="s">
        <v>24</v>
      </c>
      <c r="F84" s="8" t="s">
        <v>126</v>
      </c>
      <c r="G84" s="8" t="s">
        <v>89</v>
      </c>
      <c r="H84" s="8" t="s">
        <v>132</v>
      </c>
      <c r="I84" s="8" t="s">
        <v>104</v>
      </c>
      <c r="J84" s="8" t="s">
        <v>29</v>
      </c>
      <c r="K84" s="8" t="n">
        <v>1</v>
      </c>
      <c r="L84" s="12" t="n">
        <v>572.47</v>
      </c>
      <c r="M84" s="13" t="n">
        <v>0.2</v>
      </c>
      <c r="N84" s="12" t="n">
        <v>457.98</v>
      </c>
      <c r="O84" s="12" t="n">
        <v>157</v>
      </c>
      <c r="P84" s="8" t="str">
        <f aca="false">TEXT(B84,"mmm-yyyy")</f>
        <v>Apr-2023</v>
      </c>
      <c r="Q84" s="14" t="n">
        <f aca="false">IFERROR(O84/N84,"")</f>
        <v>0.342809729682519</v>
      </c>
      <c r="R84" s="8" t="str">
        <f aca="false">IF(OR(N84&gt;$U$3,N84&lt;$U$2),"Sales Outlier",IF(OR(O84&gt;$U$6,O84&lt;$U$4),"Profit Outlier",""))</f>
        <v/>
      </c>
    </row>
    <row r="85" customFormat="false" ht="15" hidden="false" customHeight="true" outlineLevel="0" collapsed="false">
      <c r="A85" s="8" t="s">
        <v>1541</v>
      </c>
      <c r="B85" s="11" t="n">
        <v>45023</v>
      </c>
      <c r="C85" s="11" t="n">
        <v>45176</v>
      </c>
      <c r="D85" s="8" t="s">
        <v>1543</v>
      </c>
      <c r="E85" s="8" t="s">
        <v>52</v>
      </c>
      <c r="F85" s="8" t="s">
        <v>154</v>
      </c>
      <c r="G85" s="8" t="s">
        <v>119</v>
      </c>
      <c r="H85" s="8" t="s">
        <v>45</v>
      </c>
      <c r="I85" s="8" t="s">
        <v>28</v>
      </c>
      <c r="J85" s="8" t="s">
        <v>29</v>
      </c>
      <c r="K85" s="8" t="n">
        <v>2</v>
      </c>
      <c r="L85" s="12" t="n">
        <v>71.81</v>
      </c>
      <c r="M85" s="13" t="n">
        <v>0.1</v>
      </c>
      <c r="N85" s="12" t="n">
        <v>129.26</v>
      </c>
      <c r="O85" s="12" t="n">
        <v>-0.33</v>
      </c>
      <c r="P85" s="8" t="str">
        <f aca="false">TEXT(B85,"mmm-yyyy")</f>
        <v>Apr-2023</v>
      </c>
      <c r="Q85" s="14" t="n">
        <f aca="false">IFERROR(O85/N85,"")</f>
        <v>-0.00255299396565063</v>
      </c>
      <c r="R85" s="8" t="str">
        <f aca="false">IF(OR(N85&gt;$U$3,N85&lt;$U$2),"Sales Outlier",IF(OR(O85&gt;$U$6,O85&lt;$U$4),"Profit Outlier",""))</f>
        <v/>
      </c>
    </row>
    <row r="86" customFormat="false" ht="15" hidden="false" customHeight="true" outlineLevel="0" collapsed="false">
      <c r="A86" s="8" t="s">
        <v>165</v>
      </c>
      <c r="B86" s="11" t="n">
        <v>45023</v>
      </c>
      <c r="C86" s="11" t="n">
        <v>45028</v>
      </c>
      <c r="D86" s="8" t="s">
        <v>168</v>
      </c>
      <c r="E86" s="8" t="s">
        <v>52</v>
      </c>
      <c r="F86" s="8" t="s">
        <v>126</v>
      </c>
      <c r="G86" s="8" t="s">
        <v>82</v>
      </c>
      <c r="H86" s="8" t="s">
        <v>77</v>
      </c>
      <c r="I86" s="8" t="s">
        <v>121</v>
      </c>
      <c r="J86" s="8" t="s">
        <v>39</v>
      </c>
      <c r="K86" s="8" t="n">
        <v>1</v>
      </c>
      <c r="L86" s="12" t="n">
        <v>243.02</v>
      </c>
      <c r="M86" s="13" t="n">
        <v>0</v>
      </c>
      <c r="N86" s="12" t="n">
        <v>243.02</v>
      </c>
      <c r="O86" s="12" t="n">
        <v>44.5</v>
      </c>
      <c r="P86" s="8" t="str">
        <f aca="false">TEXT(B86,"mmm-yyyy")</f>
        <v>Apr-2023</v>
      </c>
      <c r="Q86" s="14" t="n">
        <f aca="false">IFERROR(O86/N86,"")</f>
        <v>0.183112501028722</v>
      </c>
      <c r="R86" s="8" t="str">
        <f aca="false">IF(OR(N86&gt;$U$3,N86&lt;$U$2),"Sales Outlier",IF(OR(O86&gt;$U$6,O86&lt;$U$4),"Profit Outlier",""))</f>
        <v/>
      </c>
    </row>
    <row r="87" customFormat="false" ht="15" hidden="false" customHeight="true" outlineLevel="0" collapsed="false">
      <c r="A87" s="8" t="s">
        <v>810</v>
      </c>
      <c r="B87" s="11" t="n">
        <v>45030</v>
      </c>
      <c r="C87" s="11" t="n">
        <v>45034</v>
      </c>
      <c r="D87" s="8" t="s">
        <v>813</v>
      </c>
      <c r="E87" s="8" t="s">
        <v>52</v>
      </c>
      <c r="F87" s="8" t="s">
        <v>147</v>
      </c>
      <c r="G87" s="8" t="s">
        <v>326</v>
      </c>
      <c r="H87" s="8" t="s">
        <v>114</v>
      </c>
      <c r="I87" s="8" t="s">
        <v>115</v>
      </c>
      <c r="J87" s="8" t="s">
        <v>47</v>
      </c>
      <c r="K87" s="8" t="n">
        <v>1</v>
      </c>
      <c r="L87" s="12" t="n">
        <v>1027.1</v>
      </c>
      <c r="M87" s="13" t="n">
        <v>0</v>
      </c>
      <c r="N87" s="12" t="n">
        <v>1027.1</v>
      </c>
      <c r="O87" s="12" t="n">
        <v>330.21</v>
      </c>
      <c r="P87" s="8" t="str">
        <f aca="false">TEXT(B87,"mmm-yyyy")</f>
        <v>Apr-2023</v>
      </c>
      <c r="Q87" s="14" t="n">
        <f aca="false">IFERROR(O87/N87,"")</f>
        <v>0.321497419920164</v>
      </c>
      <c r="R87" s="8" t="str">
        <f aca="false">IF(OR(N87&gt;$U$3,N87&lt;$U$2),"Sales Outlier",IF(OR(O87&gt;$U$6,O87&lt;$U$4),"Profit Outlier",""))</f>
        <v/>
      </c>
    </row>
    <row r="88" customFormat="false" ht="15" hidden="false" customHeight="true" outlineLevel="0" collapsed="false">
      <c r="A88" s="8" t="s">
        <v>1107</v>
      </c>
      <c r="B88" s="11" t="n">
        <v>45031</v>
      </c>
      <c r="C88" s="11" t="n">
        <v>45037</v>
      </c>
      <c r="D88" s="8" t="s">
        <v>1824</v>
      </c>
      <c r="E88" s="8" t="s">
        <v>34</v>
      </c>
      <c r="F88" s="8" t="s">
        <v>147</v>
      </c>
      <c r="G88" s="8" t="s">
        <v>54</v>
      </c>
      <c r="H88" s="8" t="s">
        <v>132</v>
      </c>
      <c r="I88" s="8" t="s">
        <v>241</v>
      </c>
      <c r="J88" s="8" t="s">
        <v>29</v>
      </c>
      <c r="K88" s="8" t="n">
        <v>3</v>
      </c>
      <c r="L88" s="12" t="n">
        <v>297.65</v>
      </c>
      <c r="M88" s="13" t="n">
        <v>0.05</v>
      </c>
      <c r="N88" s="12" t="n">
        <v>848.3</v>
      </c>
      <c r="O88" s="12" t="n">
        <v>3.98</v>
      </c>
      <c r="P88" s="8" t="str">
        <f aca="false">TEXT(B88,"mmm-yyyy")</f>
        <v>Apr-2023</v>
      </c>
      <c r="Q88" s="14" t="n">
        <f aca="false">IFERROR(O88/N88,"")</f>
        <v>0.00469173641400448</v>
      </c>
      <c r="R88" s="8" t="str">
        <f aca="false">IF(OR(N88&gt;$U$3,N88&lt;$U$2),"Sales Outlier",IF(OR(O88&gt;$U$6,O88&lt;$U$4),"Profit Outlier",""))</f>
        <v/>
      </c>
    </row>
    <row r="89" customFormat="false" ht="15" hidden="false" customHeight="true" outlineLevel="0" collapsed="false">
      <c r="A89" s="8" t="s">
        <v>1919</v>
      </c>
      <c r="B89" s="11" t="n">
        <v>45032</v>
      </c>
      <c r="C89" s="11" t="n">
        <v>45037</v>
      </c>
      <c r="D89" s="8" t="s">
        <v>2290</v>
      </c>
      <c r="E89" s="8" t="s">
        <v>24</v>
      </c>
      <c r="F89" s="8" t="s">
        <v>147</v>
      </c>
      <c r="G89" s="8" t="s">
        <v>215</v>
      </c>
      <c r="H89" s="8" t="s">
        <v>37</v>
      </c>
      <c r="I89" s="8" t="s">
        <v>143</v>
      </c>
      <c r="J89" s="8" t="s">
        <v>39</v>
      </c>
      <c r="K89" s="8" t="n">
        <v>1</v>
      </c>
      <c r="L89" s="12" t="n">
        <v>403.28</v>
      </c>
      <c r="M89" s="13" t="n">
        <v>0</v>
      </c>
      <c r="N89" s="12" t="n">
        <v>403.28</v>
      </c>
      <c r="O89" s="12" t="n">
        <v>-3.93</v>
      </c>
      <c r="P89" s="8" t="str">
        <f aca="false">TEXT(B89,"mmm-yyyy")</f>
        <v>Apr-2023</v>
      </c>
      <c r="Q89" s="14" t="n">
        <f aca="false">IFERROR(O89/N89,"")</f>
        <v>-0.00974509025986907</v>
      </c>
      <c r="R89" s="8" t="str">
        <f aca="false">IF(OR(N89&gt;$U$3,N89&lt;$U$2),"Sales Outlier",IF(OR(O89&gt;$U$6,O89&lt;$U$4),"Profit Outlier",""))</f>
        <v/>
      </c>
    </row>
    <row r="90" customFormat="false" ht="15" hidden="false" customHeight="true" outlineLevel="0" collapsed="false">
      <c r="A90" s="8" t="s">
        <v>2073</v>
      </c>
      <c r="B90" s="11" t="n">
        <v>45032</v>
      </c>
      <c r="C90" s="11" t="n">
        <v>45037</v>
      </c>
      <c r="D90" s="8" t="s">
        <v>2291</v>
      </c>
      <c r="E90" s="8" t="s">
        <v>34</v>
      </c>
      <c r="F90" s="8" t="s">
        <v>61</v>
      </c>
      <c r="G90" s="8" t="s">
        <v>76</v>
      </c>
      <c r="H90" s="8" t="s">
        <v>132</v>
      </c>
      <c r="I90" s="8" t="s">
        <v>104</v>
      </c>
      <c r="J90" s="8" t="s">
        <v>29</v>
      </c>
      <c r="K90" s="8" t="n">
        <v>2</v>
      </c>
      <c r="L90" s="12" t="n">
        <v>444.39</v>
      </c>
      <c r="M90" s="13" t="n">
        <v>0.1</v>
      </c>
      <c r="N90" s="12" t="n">
        <v>799.9</v>
      </c>
      <c r="O90" s="12" t="n">
        <v>-63.44</v>
      </c>
      <c r="P90" s="8" t="str">
        <f aca="false">TEXT(B90,"mmm-yyyy")</f>
        <v>Apr-2023</v>
      </c>
      <c r="Q90" s="14" t="n">
        <f aca="false">IFERROR(O90/N90,"")</f>
        <v>-0.0793099137392174</v>
      </c>
      <c r="R90" s="8" t="str">
        <f aca="false">IF(OR(N90&gt;$U$3,N90&lt;$U$2),"Sales Outlier",IF(OR(O90&gt;$U$6,O90&lt;$U$4),"Profit Outlier",""))</f>
        <v/>
      </c>
    </row>
    <row r="91" customFormat="false" ht="15" hidden="false" customHeight="true" outlineLevel="0" collapsed="false">
      <c r="A91" s="8" t="s">
        <v>40</v>
      </c>
      <c r="B91" s="11" t="n">
        <v>45032</v>
      </c>
      <c r="C91" s="11" t="n">
        <v>45039</v>
      </c>
      <c r="D91" s="8" t="s">
        <v>43</v>
      </c>
      <c r="E91" s="8" t="s">
        <v>24</v>
      </c>
      <c r="F91" s="8" t="s">
        <v>61</v>
      </c>
      <c r="G91" s="8" t="s">
        <v>36</v>
      </c>
      <c r="H91" s="8" t="s">
        <v>45</v>
      </c>
      <c r="I91" s="8" t="s">
        <v>46</v>
      </c>
      <c r="J91" s="8" t="s">
        <v>47</v>
      </c>
      <c r="K91" s="8" t="n">
        <v>2</v>
      </c>
      <c r="L91" s="12" t="n">
        <v>1149.48</v>
      </c>
      <c r="M91" s="13" t="n">
        <v>0.15</v>
      </c>
      <c r="N91" s="12" t="n">
        <v>1954.12</v>
      </c>
      <c r="O91" s="12" t="n">
        <v>189.53</v>
      </c>
      <c r="P91" s="8" t="str">
        <f aca="false">TEXT(B91,"mmm-yyyy")</f>
        <v>Apr-2023</v>
      </c>
      <c r="Q91" s="14" t="n">
        <f aca="false">IFERROR(O91/N91,"")</f>
        <v>0.0969899494401572</v>
      </c>
      <c r="R91" s="8" t="str">
        <f aca="false">IF(OR(N91&gt;$U$3,N91&lt;$U$2),"Sales Outlier",IF(OR(O91&gt;$U$6,O91&lt;$U$4),"Profit Outlier",""))</f>
        <v/>
      </c>
    </row>
    <row r="92" customFormat="false" ht="15" hidden="false" customHeight="true" outlineLevel="0" collapsed="false">
      <c r="A92" s="8" t="s">
        <v>1639</v>
      </c>
      <c r="B92" s="11" t="n">
        <v>45032</v>
      </c>
      <c r="C92" s="11" t="n">
        <v>45033</v>
      </c>
      <c r="D92" s="8" t="s">
        <v>1142</v>
      </c>
      <c r="E92" s="8" t="s">
        <v>24</v>
      </c>
      <c r="F92" s="8" t="s">
        <v>147</v>
      </c>
      <c r="G92" s="8" t="s">
        <v>326</v>
      </c>
      <c r="H92" s="8" t="s">
        <v>77</v>
      </c>
      <c r="I92" s="8" t="s">
        <v>78</v>
      </c>
      <c r="J92" s="8" t="s">
        <v>64</v>
      </c>
      <c r="K92" s="8" t="n">
        <v>2</v>
      </c>
      <c r="L92" s="12" t="n">
        <v>656.84</v>
      </c>
      <c r="M92" s="13" t="n">
        <v>0.1</v>
      </c>
      <c r="N92" s="12" t="n">
        <v>1182.31</v>
      </c>
      <c r="O92" s="12" t="n">
        <v>117.95</v>
      </c>
      <c r="P92" s="8" t="str">
        <f aca="false">TEXT(B92,"mmm-yyyy")</f>
        <v>Apr-2023</v>
      </c>
      <c r="Q92" s="14" t="n">
        <f aca="false">IFERROR(O92/N92,"")</f>
        <v>0.09976232967665</v>
      </c>
      <c r="R92" s="8" t="str">
        <f aca="false">IF(OR(N92&gt;$U$3,N92&lt;$U$2),"Sales Outlier",IF(OR(O92&gt;$U$6,O92&lt;$U$4),"Profit Outlier",""))</f>
        <v/>
      </c>
    </row>
    <row r="93" customFormat="false" ht="15" hidden="false" customHeight="true" outlineLevel="0" collapsed="false">
      <c r="A93" s="8" t="s">
        <v>1537</v>
      </c>
      <c r="B93" s="11" t="n">
        <v>45034</v>
      </c>
      <c r="C93" s="11" t="n">
        <v>45041</v>
      </c>
      <c r="D93" s="8" t="s">
        <v>1540</v>
      </c>
      <c r="E93" s="8" t="s">
        <v>34</v>
      </c>
      <c r="F93" s="8" t="s">
        <v>147</v>
      </c>
      <c r="G93" s="8" t="s">
        <v>215</v>
      </c>
      <c r="H93" s="8" t="s">
        <v>77</v>
      </c>
      <c r="I93" s="8" t="s">
        <v>127</v>
      </c>
      <c r="J93" s="8" t="s">
        <v>39</v>
      </c>
      <c r="K93" s="8" t="n">
        <v>5</v>
      </c>
      <c r="L93" s="12" t="n">
        <v>403.3</v>
      </c>
      <c r="M93" s="13" t="n">
        <v>0</v>
      </c>
      <c r="N93" s="12" t="n">
        <v>2016.5</v>
      </c>
      <c r="O93" s="12" t="n">
        <v>-121.74</v>
      </c>
      <c r="P93" s="8" t="str">
        <f aca="false">TEXT(B93,"mmm-yyyy")</f>
        <v>Apr-2023</v>
      </c>
      <c r="Q93" s="14" t="n">
        <f aca="false">IFERROR(O93/N93,"")</f>
        <v>-0.0603719315645921</v>
      </c>
      <c r="R93" s="8" t="str">
        <f aca="false">IF(OR(N93&gt;$U$3,N93&lt;$U$2),"Sales Outlier",IF(OR(O93&gt;$U$6,O93&lt;$U$4),"Profit Outlier",""))</f>
        <v/>
      </c>
    </row>
    <row r="94" customFormat="false" ht="15" hidden="false" customHeight="true" outlineLevel="0" collapsed="false">
      <c r="A94" s="8" t="s">
        <v>2182</v>
      </c>
      <c r="B94" s="11" t="n">
        <v>45035</v>
      </c>
      <c r="C94" s="11" t="n">
        <v>45039</v>
      </c>
      <c r="D94" s="8" t="s">
        <v>1739</v>
      </c>
      <c r="E94" s="8" t="s">
        <v>52</v>
      </c>
      <c r="F94" s="8" t="s">
        <v>126</v>
      </c>
      <c r="G94" s="8" t="s">
        <v>26</v>
      </c>
      <c r="H94" s="8" t="s">
        <v>132</v>
      </c>
      <c r="I94" s="8" t="s">
        <v>56</v>
      </c>
      <c r="J94" s="8" t="s">
        <v>39</v>
      </c>
      <c r="K94" s="8" t="n">
        <v>5</v>
      </c>
      <c r="L94" s="12" t="n">
        <v>265.97</v>
      </c>
      <c r="M94" s="13" t="n">
        <v>0</v>
      </c>
      <c r="N94" s="12" t="n">
        <v>1329.85</v>
      </c>
      <c r="O94" s="12" t="n">
        <v>166.04</v>
      </c>
      <c r="P94" s="8" t="str">
        <f aca="false">TEXT(B94,"mmm-yyyy")</f>
        <v>Apr-2023</v>
      </c>
      <c r="Q94" s="14" t="n">
        <f aca="false">IFERROR(O94/N94,"")</f>
        <v>0.124856186787984</v>
      </c>
      <c r="R94" s="8" t="str">
        <f aca="false">IF(OR(N94&gt;$U$3,N94&lt;$U$2),"Sales Outlier",IF(OR(O94&gt;$U$6,O94&lt;$U$4),"Profit Outlier",""))</f>
        <v/>
      </c>
    </row>
    <row r="95" customFormat="false" ht="15" hidden="false" customHeight="true" outlineLevel="0" collapsed="false">
      <c r="A95" s="8" t="s">
        <v>128</v>
      </c>
      <c r="B95" s="11" t="n">
        <v>45035</v>
      </c>
      <c r="C95" s="11" t="n">
        <v>45039</v>
      </c>
      <c r="D95" s="8" t="s">
        <v>131</v>
      </c>
      <c r="E95" s="8" t="s">
        <v>24</v>
      </c>
      <c r="F95" s="8" t="s">
        <v>147</v>
      </c>
      <c r="G95" s="8" t="s">
        <v>54</v>
      </c>
      <c r="H95" s="8" t="s">
        <v>132</v>
      </c>
      <c r="I95" s="8" t="s">
        <v>133</v>
      </c>
      <c r="J95" s="8" t="s">
        <v>39</v>
      </c>
      <c r="K95" s="8" t="n">
        <v>2</v>
      </c>
      <c r="L95" s="12" t="n">
        <v>281.89</v>
      </c>
      <c r="M95" s="13" t="n">
        <v>0</v>
      </c>
      <c r="N95" s="12" t="n">
        <v>563.78</v>
      </c>
      <c r="O95" s="12" t="n">
        <v>171.9</v>
      </c>
      <c r="P95" s="8" t="str">
        <f aca="false">TEXT(B95,"mmm-yyyy")</f>
        <v>Apr-2023</v>
      </c>
      <c r="Q95" s="14" t="n">
        <f aca="false">IFERROR(O95/N95,"")</f>
        <v>0.304906169073043</v>
      </c>
      <c r="R95" s="8" t="str">
        <f aca="false">IF(OR(N95&gt;$U$3,N95&lt;$U$2),"Sales Outlier",IF(OR(O95&gt;$U$6,O95&lt;$U$4),"Profit Outlier",""))</f>
        <v/>
      </c>
    </row>
    <row r="96" customFormat="false" ht="15" hidden="false" customHeight="true" outlineLevel="0" collapsed="false">
      <c r="A96" s="8" t="s">
        <v>1674</v>
      </c>
      <c r="B96" s="11" t="n">
        <v>45037</v>
      </c>
      <c r="C96" s="11" t="n">
        <v>45042</v>
      </c>
      <c r="D96" s="8" t="s">
        <v>1677</v>
      </c>
      <c r="E96" s="8" t="s">
        <v>24</v>
      </c>
      <c r="F96" s="8" t="s">
        <v>147</v>
      </c>
      <c r="G96" s="8" t="s">
        <v>54</v>
      </c>
      <c r="H96" s="8" t="s">
        <v>37</v>
      </c>
      <c r="I96" s="8" t="s">
        <v>143</v>
      </c>
      <c r="J96" s="8" t="s">
        <v>29</v>
      </c>
      <c r="K96" s="8" t="n">
        <v>1</v>
      </c>
      <c r="L96" s="12" t="n">
        <v>1017.37</v>
      </c>
      <c r="M96" s="13" t="n">
        <v>0.1</v>
      </c>
      <c r="N96" s="12" t="n">
        <v>915.63</v>
      </c>
      <c r="O96" s="12" t="n">
        <v>-733.22</v>
      </c>
      <c r="P96" s="8" t="str">
        <f aca="false">TEXT(B96,"mmm-yyyy")</f>
        <v>Apr-2023</v>
      </c>
      <c r="Q96" s="14" t="n">
        <f aca="false">IFERROR(O96/N96,"")</f>
        <v>-0.800781975252012</v>
      </c>
      <c r="R96" s="8" t="str">
        <f aca="false">IF(OR(N96&gt;$U$3,N96&lt;$U$2),"Sales Outlier",IF(OR(O96&gt;$U$6,O96&lt;$U$4),"Profit Outlier",""))</f>
        <v/>
      </c>
    </row>
    <row r="97" customFormat="false" ht="15" hidden="false" customHeight="true" outlineLevel="0" collapsed="false">
      <c r="A97" s="8" t="s">
        <v>987</v>
      </c>
      <c r="B97" s="11" t="n">
        <v>45037</v>
      </c>
      <c r="C97" s="11" t="n">
        <v>45043</v>
      </c>
      <c r="D97" s="8" t="s">
        <v>990</v>
      </c>
      <c r="E97" s="8" t="s">
        <v>2285</v>
      </c>
      <c r="F97" s="8" t="s">
        <v>147</v>
      </c>
      <c r="G97" s="8" t="s">
        <v>215</v>
      </c>
      <c r="H97" s="8" t="s">
        <v>77</v>
      </c>
      <c r="I97" s="8" t="s">
        <v>127</v>
      </c>
      <c r="J97" s="8" t="s">
        <v>29</v>
      </c>
      <c r="K97" s="8" t="n">
        <v>1</v>
      </c>
      <c r="L97" s="12" t="n">
        <v>1108.64</v>
      </c>
      <c r="M97" s="13" t="n">
        <v>0.1</v>
      </c>
      <c r="N97" s="12" t="n">
        <v>997.78</v>
      </c>
      <c r="O97" s="12" t="n">
        <v>205.03</v>
      </c>
      <c r="P97" s="8" t="str">
        <f aca="false">TEXT(B97,"mmm-yyyy")</f>
        <v>Apr-2023</v>
      </c>
      <c r="Q97" s="14" t="n">
        <f aca="false">IFERROR(O97/N97,"")</f>
        <v>0.205486179318086</v>
      </c>
      <c r="R97" s="8" t="str">
        <f aca="false">IF(OR(N97&gt;$U$3,N97&lt;$U$2),"Sales Outlier",IF(OR(O97&gt;$U$6,O97&lt;$U$4),"Profit Outlier",""))</f>
        <v/>
      </c>
    </row>
    <row r="98" customFormat="false" ht="15" hidden="false" customHeight="true" outlineLevel="0" collapsed="false">
      <c r="A98" s="8" t="s">
        <v>327</v>
      </c>
      <c r="B98" s="11" t="n">
        <v>45040</v>
      </c>
      <c r="C98" s="11" t="n">
        <v>45047</v>
      </c>
      <c r="D98" s="8" t="s">
        <v>330</v>
      </c>
      <c r="E98" s="8" t="s">
        <v>34</v>
      </c>
      <c r="F98" s="8" t="s">
        <v>147</v>
      </c>
      <c r="G98" s="8" t="s">
        <v>215</v>
      </c>
      <c r="H98" s="8" t="s">
        <v>114</v>
      </c>
      <c r="I98" s="8" t="s">
        <v>109</v>
      </c>
      <c r="J98" s="8" t="s">
        <v>47</v>
      </c>
      <c r="K98" s="8" t="n">
        <v>3</v>
      </c>
      <c r="L98" s="12" t="n">
        <v>814.46</v>
      </c>
      <c r="M98" s="13" t="n">
        <v>0.05</v>
      </c>
      <c r="N98" s="12" t="n">
        <v>2321.21</v>
      </c>
      <c r="O98" s="12" t="n">
        <v>397.54</v>
      </c>
      <c r="P98" s="8" t="str">
        <f aca="false">TEXT(B98,"mmm-yyyy")</f>
        <v>Apr-2023</v>
      </c>
      <c r="Q98" s="14" t="n">
        <f aca="false">IFERROR(O98/N98,"")</f>
        <v>0.171264125176094</v>
      </c>
      <c r="R98" s="8" t="str">
        <f aca="false">IF(OR(N98&gt;$U$3,N98&lt;$U$2),"Sales Outlier",IF(OR(O98&gt;$U$6,O98&lt;$U$4),"Profit Outlier",""))</f>
        <v/>
      </c>
    </row>
    <row r="99" customFormat="false" ht="15" hidden="false" customHeight="true" outlineLevel="0" collapsed="false">
      <c r="A99" s="8" t="s">
        <v>2033</v>
      </c>
      <c r="B99" s="11" t="n">
        <v>45041</v>
      </c>
      <c r="C99" s="11" t="n">
        <v>45042</v>
      </c>
      <c r="D99" s="8" t="s">
        <v>2035</v>
      </c>
      <c r="E99" s="8" t="s">
        <v>52</v>
      </c>
      <c r="F99" s="8" t="s">
        <v>126</v>
      </c>
      <c r="G99" s="8" t="s">
        <v>89</v>
      </c>
      <c r="H99" s="8" t="s">
        <v>114</v>
      </c>
      <c r="I99" s="8" t="s">
        <v>115</v>
      </c>
      <c r="J99" s="8" t="s">
        <v>39</v>
      </c>
      <c r="K99" s="8" t="n">
        <v>2</v>
      </c>
      <c r="L99" s="12" t="n">
        <v>439.48</v>
      </c>
      <c r="M99" s="13" t="n">
        <v>0.1</v>
      </c>
      <c r="N99" s="12" t="n">
        <v>395.53</v>
      </c>
      <c r="O99" s="12" t="n">
        <v>104.62</v>
      </c>
      <c r="P99" s="8" t="str">
        <f aca="false">TEXT(B99,"mmm-yyyy")</f>
        <v>Apr-2023</v>
      </c>
      <c r="Q99" s="14" t="n">
        <f aca="false">IFERROR(O99/N99,"")</f>
        <v>0.264505852906227</v>
      </c>
      <c r="R99" s="8" t="str">
        <f aca="false">IF(OR(N99&gt;$U$3,N99&lt;$U$2),"Sales Outlier",IF(OR(O99&gt;$U$6,O99&lt;$U$4),"Profit Outlier",""))</f>
        <v/>
      </c>
    </row>
    <row r="100" customFormat="false" ht="15" hidden="false" customHeight="true" outlineLevel="0" collapsed="false">
      <c r="A100" s="8" t="s">
        <v>734</v>
      </c>
      <c r="B100" s="11" t="n">
        <v>45042</v>
      </c>
      <c r="C100" s="11" t="n">
        <v>45047</v>
      </c>
      <c r="D100" s="8" t="s">
        <v>736</v>
      </c>
      <c r="E100" s="8" t="s">
        <v>24</v>
      </c>
      <c r="F100" s="8" t="s">
        <v>61</v>
      </c>
      <c r="G100" s="8" t="s">
        <v>76</v>
      </c>
      <c r="H100" s="8" t="s">
        <v>132</v>
      </c>
      <c r="I100" s="8" t="s">
        <v>241</v>
      </c>
      <c r="J100" s="8" t="s">
        <v>47</v>
      </c>
      <c r="K100" s="8" t="n">
        <v>1</v>
      </c>
      <c r="L100" s="12" t="n">
        <v>680.54</v>
      </c>
      <c r="M100" s="13" t="n">
        <v>0.2</v>
      </c>
      <c r="N100" s="12" t="n">
        <v>544.43</v>
      </c>
      <c r="O100" s="12" t="n">
        <v>133.5</v>
      </c>
      <c r="P100" s="8" t="str">
        <f aca="false">TEXT(B100,"mmm-yyyy")</f>
        <v>Apr-2023</v>
      </c>
      <c r="Q100" s="14" t="n">
        <f aca="false">IFERROR(O100/N100,"")</f>
        <v>0.245210587219661</v>
      </c>
      <c r="R100" s="8" t="str">
        <f aca="false">IF(OR(N100&gt;$U$3,N100&lt;$U$2),"Sales Outlier",IF(OR(O100&gt;$U$6,O100&lt;$U$4),"Profit Outlier",""))</f>
        <v/>
      </c>
    </row>
    <row r="101" customFormat="false" ht="15" hidden="false" customHeight="true" outlineLevel="0" collapsed="false">
      <c r="A101" s="8" t="s">
        <v>1024</v>
      </c>
      <c r="B101" s="11" t="n">
        <v>45043</v>
      </c>
      <c r="C101" s="11" t="n">
        <v>45047</v>
      </c>
      <c r="D101" s="8" t="s">
        <v>2290</v>
      </c>
      <c r="E101" s="8" t="s">
        <v>52</v>
      </c>
      <c r="F101" s="8" t="s">
        <v>154</v>
      </c>
      <c r="G101" s="8" t="s">
        <v>182</v>
      </c>
      <c r="H101" s="8" t="s">
        <v>132</v>
      </c>
      <c r="I101" s="8" t="s">
        <v>241</v>
      </c>
      <c r="J101" s="8" t="s">
        <v>39</v>
      </c>
      <c r="K101" s="8" t="n">
        <v>4</v>
      </c>
      <c r="L101" s="12" t="n">
        <v>460.74</v>
      </c>
      <c r="M101" s="13" t="n">
        <v>0</v>
      </c>
      <c r="N101" s="12" t="n">
        <v>1842.96</v>
      </c>
      <c r="O101" s="12" t="n">
        <v>481.51</v>
      </c>
      <c r="P101" s="8" t="str">
        <f aca="false">TEXT(B101,"mmm-yyyy")</f>
        <v>Apr-2023</v>
      </c>
      <c r="Q101" s="14" t="n">
        <f aca="false">IFERROR(O101/N101,"")</f>
        <v>0.261269913617224</v>
      </c>
      <c r="R101" s="8" t="str">
        <f aca="false">IF(OR(N101&gt;$U$3,N101&lt;$U$2),"Sales Outlier",IF(OR(O101&gt;$U$6,O101&lt;$U$4),"Profit Outlier",""))</f>
        <v/>
      </c>
    </row>
    <row r="102" customFormat="false" ht="15" hidden="false" customHeight="true" outlineLevel="0" collapsed="false">
      <c r="A102" s="8" t="s">
        <v>539</v>
      </c>
      <c r="B102" s="11" t="n">
        <v>45043</v>
      </c>
      <c r="C102" s="11" t="n">
        <v>45046</v>
      </c>
      <c r="D102" s="8" t="s">
        <v>542</v>
      </c>
      <c r="E102" s="8" t="s">
        <v>2285</v>
      </c>
      <c r="F102" s="8" t="s">
        <v>126</v>
      </c>
      <c r="G102" s="8" t="s">
        <v>89</v>
      </c>
      <c r="H102" s="8" t="s">
        <v>132</v>
      </c>
      <c r="I102" s="8" t="s">
        <v>56</v>
      </c>
      <c r="J102" s="8" t="s">
        <v>47</v>
      </c>
      <c r="K102" s="8" t="n">
        <v>2</v>
      </c>
      <c r="L102" s="12" t="n">
        <v>1147.8</v>
      </c>
      <c r="M102" s="13" t="n">
        <v>0</v>
      </c>
      <c r="N102" s="12" t="n">
        <v>1147.8</v>
      </c>
      <c r="O102" s="12" t="n">
        <v>98.02</v>
      </c>
      <c r="P102" s="8" t="str">
        <f aca="false">TEXT(B102,"mmm-yyyy")</f>
        <v>Apr-2023</v>
      </c>
      <c r="Q102" s="14" t="n">
        <f aca="false">IFERROR(O102/N102,"")</f>
        <v>0.0853981529883255</v>
      </c>
      <c r="R102" s="8" t="str">
        <f aca="false">IF(OR(N102&gt;$U$3,N102&lt;$U$2),"Sales Outlier",IF(OR(O102&gt;$U$6,O102&lt;$U$4),"Profit Outlier",""))</f>
        <v/>
      </c>
    </row>
    <row r="103" customFormat="false" ht="15" hidden="false" customHeight="true" outlineLevel="0" collapsed="false">
      <c r="A103" s="8" t="s">
        <v>1260</v>
      </c>
      <c r="B103" s="11" t="n">
        <v>45044</v>
      </c>
      <c r="C103" s="11" t="n">
        <v>45048</v>
      </c>
      <c r="D103" s="8" t="s">
        <v>1263</v>
      </c>
      <c r="E103" s="8" t="s">
        <v>2285</v>
      </c>
      <c r="F103" s="8" t="s">
        <v>154</v>
      </c>
      <c r="G103" s="8" t="s">
        <v>182</v>
      </c>
      <c r="H103" s="8" t="s">
        <v>37</v>
      </c>
      <c r="I103" s="8" t="s">
        <v>404</v>
      </c>
      <c r="J103" s="8" t="s">
        <v>29</v>
      </c>
      <c r="K103" s="8" t="n">
        <v>3</v>
      </c>
      <c r="L103" s="12" t="n">
        <v>897.14</v>
      </c>
      <c r="M103" s="13" t="n">
        <v>0.1</v>
      </c>
      <c r="N103" s="12" t="n">
        <v>2422.28</v>
      </c>
      <c r="O103" s="12" t="n">
        <v>156.48</v>
      </c>
      <c r="P103" s="8" t="str">
        <f aca="false">TEXT(B103,"mmm-yyyy")</f>
        <v>Apr-2023</v>
      </c>
      <c r="Q103" s="14" t="n">
        <f aca="false">IFERROR(O103/N103,"")</f>
        <v>0.0646002939379428</v>
      </c>
      <c r="R103" s="8" t="str">
        <f aca="false">IF(OR(N103&gt;$U$3,N103&lt;$U$2),"Sales Outlier",IF(OR(O103&gt;$U$6,O103&lt;$U$4),"Profit Outlier",""))</f>
        <v/>
      </c>
    </row>
    <row r="104" customFormat="false" ht="15" hidden="false" customHeight="true" outlineLevel="0" collapsed="false">
      <c r="A104" s="8" t="s">
        <v>1438</v>
      </c>
      <c r="B104" s="11" t="n">
        <v>45047</v>
      </c>
      <c r="C104" s="11" t="n">
        <v>45051</v>
      </c>
      <c r="D104" s="8" t="s">
        <v>1441</v>
      </c>
      <c r="E104" s="8" t="s">
        <v>52</v>
      </c>
      <c r="F104" s="8" t="s">
        <v>126</v>
      </c>
      <c r="G104" s="8" t="s">
        <v>89</v>
      </c>
      <c r="H104" s="8" t="s">
        <v>114</v>
      </c>
      <c r="I104" s="8" t="s">
        <v>201</v>
      </c>
      <c r="J104" s="8" t="s">
        <v>64</v>
      </c>
      <c r="K104" s="8" t="n">
        <v>5</v>
      </c>
      <c r="L104" s="12" t="n">
        <v>482.29</v>
      </c>
      <c r="M104" s="13" t="n">
        <v>0.1</v>
      </c>
      <c r="N104" s="12" t="n">
        <v>2170.31</v>
      </c>
      <c r="O104" s="12" t="n">
        <v>418</v>
      </c>
      <c r="P104" s="8" t="str">
        <f aca="false">TEXT(B104,"mmm-yyyy")</f>
        <v>May-2023</v>
      </c>
      <c r="Q104" s="14" t="n">
        <f aca="false">IFERROR(O104/N104,"")</f>
        <v>0.19259921393718</v>
      </c>
      <c r="R104" s="8" t="str">
        <f aca="false">IF(OR(N104&gt;$U$3,N104&lt;$U$2),"Sales Outlier",IF(OR(O104&gt;$U$6,O104&lt;$U$4),"Profit Outlier",""))</f>
        <v/>
      </c>
    </row>
    <row r="105" customFormat="false" ht="15" hidden="false" customHeight="true" outlineLevel="0" collapsed="false">
      <c r="A105" s="8" t="s">
        <v>1852</v>
      </c>
      <c r="B105" s="11" t="n">
        <v>45048</v>
      </c>
      <c r="C105" s="11" t="n">
        <v>45050</v>
      </c>
      <c r="D105" s="8" t="s">
        <v>1855</v>
      </c>
      <c r="E105" s="8" t="s">
        <v>52</v>
      </c>
      <c r="F105" s="8" t="s">
        <v>154</v>
      </c>
      <c r="G105" s="8" t="s">
        <v>102</v>
      </c>
      <c r="H105" s="8" t="s">
        <v>45</v>
      </c>
      <c r="I105" s="8" t="s">
        <v>160</v>
      </c>
      <c r="J105" s="8" t="s">
        <v>47</v>
      </c>
      <c r="K105" s="8" t="n">
        <v>5</v>
      </c>
      <c r="L105" s="12" t="n">
        <v>1054.67</v>
      </c>
      <c r="M105" s="13" t="n">
        <v>0</v>
      </c>
      <c r="N105" s="12" t="n">
        <v>5273.35</v>
      </c>
      <c r="O105" s="12" t="n">
        <v>895.4</v>
      </c>
      <c r="P105" s="8" t="str">
        <f aca="false">TEXT(B105,"mmm-yyyy")</f>
        <v>May-2023</v>
      </c>
      <c r="Q105" s="14" t="n">
        <f aca="false">IFERROR(O105/N105,"")</f>
        <v>0.16979718774593</v>
      </c>
      <c r="R105" s="8" t="str">
        <f aca="false">IF(OR(N105&gt;$U$3,N105&lt;$U$2),"Sales Outlier",IF(OR(O105&gt;$U$6,O105&lt;$U$4),"Profit Outlier",""))</f>
        <v/>
      </c>
    </row>
    <row r="106" customFormat="false" ht="15" hidden="false" customHeight="true" outlineLevel="0" collapsed="false">
      <c r="A106" s="8" t="s">
        <v>1218</v>
      </c>
      <c r="B106" s="11" t="n">
        <v>45049</v>
      </c>
      <c r="C106" s="11" t="n">
        <v>45052</v>
      </c>
      <c r="D106" s="8" t="s">
        <v>1220</v>
      </c>
      <c r="E106" s="8" t="s">
        <v>34</v>
      </c>
      <c r="F106" s="8" t="s">
        <v>147</v>
      </c>
      <c r="G106" s="8" t="s">
        <v>215</v>
      </c>
      <c r="H106" s="8" t="s">
        <v>37</v>
      </c>
      <c r="I106" s="8" t="s">
        <v>404</v>
      </c>
      <c r="J106" s="8" t="s">
        <v>39</v>
      </c>
      <c r="K106" s="8" t="n">
        <v>1</v>
      </c>
      <c r="L106" s="12" t="n">
        <v>360.48</v>
      </c>
      <c r="M106" s="13" t="n">
        <v>0</v>
      </c>
      <c r="N106" s="12" t="n">
        <v>360.48</v>
      </c>
      <c r="O106" s="12" t="n">
        <v>-7.73</v>
      </c>
      <c r="P106" s="8" t="str">
        <f aca="false">TEXT(B106,"mmm-yyyy")</f>
        <v>May-2023</v>
      </c>
      <c r="Q106" s="14" t="n">
        <f aca="false">IFERROR(O106/N106,"")</f>
        <v>-0.0214436307146028</v>
      </c>
      <c r="R106" s="8" t="str">
        <f aca="false">IF(OR(N106&gt;$U$3,N106&lt;$U$2),"Sales Outlier",IF(OR(O106&gt;$U$6,O106&lt;$U$4),"Profit Outlier",""))</f>
        <v/>
      </c>
    </row>
    <row r="107" customFormat="false" ht="15" hidden="false" customHeight="true" outlineLevel="0" collapsed="false">
      <c r="A107" s="8" t="s">
        <v>1726</v>
      </c>
      <c r="B107" s="11" t="n">
        <v>45050</v>
      </c>
      <c r="C107" s="11" t="n">
        <v>45057</v>
      </c>
      <c r="D107" s="8" t="s">
        <v>1729</v>
      </c>
      <c r="E107" s="8" t="s">
        <v>24</v>
      </c>
      <c r="F107" s="8" t="s">
        <v>154</v>
      </c>
      <c r="G107" s="8" t="s">
        <v>119</v>
      </c>
      <c r="H107" s="8" t="s">
        <v>77</v>
      </c>
      <c r="I107" s="8" t="s">
        <v>71</v>
      </c>
      <c r="J107" s="8" t="s">
        <v>39</v>
      </c>
      <c r="K107" s="8" t="n">
        <v>1</v>
      </c>
      <c r="L107" s="12" t="n">
        <v>1122.68</v>
      </c>
      <c r="M107" s="13" t="n">
        <v>0</v>
      </c>
      <c r="N107" s="12" t="n">
        <v>1122.68</v>
      </c>
      <c r="O107" s="12" t="n">
        <v>139.15</v>
      </c>
      <c r="P107" s="8" t="str">
        <f aca="false">TEXT(B107,"mmm-yyyy")</f>
        <v>May-2023</v>
      </c>
      <c r="Q107" s="14" t="n">
        <f aca="false">IFERROR(O107/N107,"")</f>
        <v>0.123944489970428</v>
      </c>
      <c r="R107" s="8" t="str">
        <f aca="false">IF(OR(N107&gt;$U$3,N107&lt;$U$2),"Sales Outlier",IF(OR(O107&gt;$U$6,O107&lt;$U$4),"Profit Outlier",""))</f>
        <v/>
      </c>
    </row>
    <row r="108" customFormat="false" ht="15" hidden="false" customHeight="true" outlineLevel="0" collapsed="false">
      <c r="A108" s="8" t="s">
        <v>1056</v>
      </c>
      <c r="B108" s="11" t="n">
        <v>45051</v>
      </c>
      <c r="C108" s="11" t="n">
        <v>45174</v>
      </c>
      <c r="D108" s="8" t="s">
        <v>850</v>
      </c>
      <c r="E108" s="8" t="s">
        <v>2285</v>
      </c>
      <c r="F108" s="8" t="s">
        <v>61</v>
      </c>
      <c r="G108" s="8" t="s">
        <v>62</v>
      </c>
      <c r="H108" s="8" t="s">
        <v>77</v>
      </c>
      <c r="I108" s="8" t="s">
        <v>127</v>
      </c>
      <c r="J108" s="8" t="s">
        <v>47</v>
      </c>
      <c r="K108" s="8" t="n">
        <v>1</v>
      </c>
      <c r="L108" s="12" t="n">
        <v>148.4</v>
      </c>
      <c r="M108" s="13" t="n">
        <v>0</v>
      </c>
      <c r="N108" s="12" t="n">
        <v>148.4</v>
      </c>
      <c r="O108" s="12" t="n">
        <v>31.49</v>
      </c>
      <c r="P108" s="8" t="str">
        <f aca="false">TEXT(B108,"mmm-yyyy")</f>
        <v>May-2023</v>
      </c>
      <c r="Q108" s="14" t="n">
        <f aca="false">IFERROR(O108/N108,"")</f>
        <v>0.212196765498652</v>
      </c>
      <c r="R108" s="8" t="str">
        <f aca="false">IF(OR(N108&gt;$U$3,N108&lt;$U$2),"Sales Outlier",IF(OR(O108&gt;$U$6,O108&lt;$U$4),"Profit Outlier",""))</f>
        <v/>
      </c>
    </row>
    <row r="109" customFormat="false" ht="15" hidden="false" customHeight="true" outlineLevel="0" collapsed="false">
      <c r="A109" s="8" t="s">
        <v>110</v>
      </c>
      <c r="B109" s="11" t="n">
        <v>45052</v>
      </c>
      <c r="C109" s="11" t="n">
        <v>45054</v>
      </c>
      <c r="D109" s="8" t="s">
        <v>113</v>
      </c>
      <c r="E109" s="8" t="s">
        <v>52</v>
      </c>
      <c r="F109" s="8" t="s">
        <v>61</v>
      </c>
      <c r="G109" s="8" t="s">
        <v>36</v>
      </c>
      <c r="H109" s="8" t="s">
        <v>114</v>
      </c>
      <c r="I109" s="8" t="s">
        <v>115</v>
      </c>
      <c r="J109" s="8" t="s">
        <v>39</v>
      </c>
      <c r="K109" s="8" t="n">
        <v>2</v>
      </c>
      <c r="L109" s="12" t="n">
        <v>715.98</v>
      </c>
      <c r="M109" s="13" t="n">
        <v>0.15</v>
      </c>
      <c r="N109" s="12" t="n">
        <v>1217.17</v>
      </c>
      <c r="O109" s="12" t="n">
        <v>394.91</v>
      </c>
      <c r="P109" s="8" t="str">
        <f aca="false">TEXT(B109,"mmm-yyyy")</f>
        <v>May-2023</v>
      </c>
      <c r="Q109" s="14" t="n">
        <f aca="false">IFERROR(O109/N109,"")</f>
        <v>0.324449337397405</v>
      </c>
      <c r="R109" s="8" t="str">
        <f aca="false">IF(OR(N109&gt;$U$3,N109&lt;$U$2),"Sales Outlier",IF(OR(O109&gt;$U$6,O109&lt;$U$4),"Profit Outlier",""))</f>
        <v/>
      </c>
    </row>
    <row r="110" customFormat="false" ht="15" hidden="false" customHeight="true" outlineLevel="0" collapsed="false">
      <c r="A110" s="8" t="s">
        <v>630</v>
      </c>
      <c r="B110" s="11" t="n">
        <v>45053</v>
      </c>
      <c r="C110" s="11" t="n">
        <v>45055</v>
      </c>
      <c r="D110" s="8" t="s">
        <v>633</v>
      </c>
      <c r="E110" s="8" t="s">
        <v>34</v>
      </c>
      <c r="F110" s="8" t="s">
        <v>61</v>
      </c>
      <c r="G110" s="8" t="s">
        <v>36</v>
      </c>
      <c r="H110" s="8" t="s">
        <v>132</v>
      </c>
      <c r="I110" s="8" t="s">
        <v>133</v>
      </c>
      <c r="J110" s="8" t="s">
        <v>47</v>
      </c>
      <c r="K110" s="8" t="n">
        <v>3</v>
      </c>
      <c r="L110" s="12" t="n">
        <v>922.76</v>
      </c>
      <c r="M110" s="13" t="n">
        <v>0.1</v>
      </c>
      <c r="N110" s="12" t="n">
        <v>2491.45</v>
      </c>
      <c r="O110" s="12" t="n">
        <v>366.3</v>
      </c>
      <c r="P110" s="8" t="str">
        <f aca="false">TEXT(B110,"mmm-yyyy")</f>
        <v>May-2023</v>
      </c>
      <c r="Q110" s="14" t="n">
        <f aca="false">IFERROR(O110/N110,"")</f>
        <v>0.147022818037689</v>
      </c>
      <c r="R110" s="8" t="str">
        <f aca="false">IF(OR(N110&gt;$U$3,N110&lt;$U$2),"Sales Outlier",IF(OR(O110&gt;$U$6,O110&lt;$U$4),"Profit Outlier",""))</f>
        <v/>
      </c>
    </row>
    <row r="111" customFormat="false" ht="15" hidden="false" customHeight="true" outlineLevel="0" collapsed="false">
      <c r="A111" s="8" t="s">
        <v>1928</v>
      </c>
      <c r="B111" s="11" t="n">
        <v>45062</v>
      </c>
      <c r="C111" s="11" t="n">
        <v>45063</v>
      </c>
      <c r="D111" s="8" t="s">
        <v>2282</v>
      </c>
      <c r="E111" s="8" t="s">
        <v>2285</v>
      </c>
      <c r="F111" s="8" t="s">
        <v>61</v>
      </c>
      <c r="G111" s="8" t="s">
        <v>76</v>
      </c>
      <c r="H111" s="8" t="s">
        <v>77</v>
      </c>
      <c r="I111" s="8" t="s">
        <v>78</v>
      </c>
      <c r="J111" s="8" t="s">
        <v>64</v>
      </c>
      <c r="K111" s="8" t="n">
        <v>1</v>
      </c>
      <c r="L111" s="12" t="n">
        <v>279.63</v>
      </c>
      <c r="M111" s="13" t="n">
        <v>0.15</v>
      </c>
      <c r="N111" s="12" t="n">
        <v>237.69</v>
      </c>
      <c r="O111" s="12" t="n">
        <v>41</v>
      </c>
      <c r="P111" s="8" t="str">
        <f aca="false">TEXT(B111,"mmm-yyyy")</f>
        <v>May-2023</v>
      </c>
      <c r="Q111" s="14" t="n">
        <f aca="false">IFERROR(O111/N111,"")</f>
        <v>0.172493584080104</v>
      </c>
      <c r="R111" s="8" t="str">
        <f aca="false">IF(OR(N111&gt;$U$3,N111&lt;$U$2),"Sales Outlier",IF(OR(O111&gt;$U$6,O111&lt;$U$4),"Profit Outlier",""))</f>
        <v/>
      </c>
    </row>
    <row r="112" customFormat="false" ht="15" hidden="false" customHeight="true" outlineLevel="0" collapsed="false">
      <c r="A112" s="8" t="s">
        <v>2232</v>
      </c>
      <c r="B112" s="11" t="n">
        <v>45063</v>
      </c>
      <c r="C112" s="11" t="n">
        <v>45067</v>
      </c>
      <c r="D112" s="8" t="s">
        <v>452</v>
      </c>
      <c r="E112" s="8" t="s">
        <v>2285</v>
      </c>
      <c r="F112" s="8" t="s">
        <v>126</v>
      </c>
      <c r="G112" s="8" t="s">
        <v>89</v>
      </c>
      <c r="H112" s="8" t="s">
        <v>77</v>
      </c>
      <c r="I112" s="8" t="s">
        <v>121</v>
      </c>
      <c r="J112" s="8" t="s">
        <v>47</v>
      </c>
      <c r="K112" s="8" t="n">
        <v>1</v>
      </c>
      <c r="L112" s="12" t="n">
        <v>468.15</v>
      </c>
      <c r="M112" s="13" t="n">
        <v>0.1</v>
      </c>
      <c r="N112" s="12" t="n">
        <v>421.33</v>
      </c>
      <c r="O112" s="12" t="n">
        <v>32.54</v>
      </c>
      <c r="P112" s="8" t="str">
        <f aca="false">TEXT(B112,"mmm-yyyy")</f>
        <v>May-2023</v>
      </c>
      <c r="Q112" s="14" t="n">
        <f aca="false">IFERROR(O112/N112,"")</f>
        <v>0.0772316236679088</v>
      </c>
      <c r="R112" s="8" t="str">
        <f aca="false">IF(OR(N112&gt;$U$3,N112&lt;$U$2),"Sales Outlier",IF(OR(O112&gt;$U$6,O112&lt;$U$4),"Profit Outlier",""))</f>
        <v/>
      </c>
    </row>
    <row r="113" customFormat="false" ht="15" hidden="false" customHeight="true" outlineLevel="0" collapsed="false">
      <c r="A113" s="8" t="s">
        <v>586</v>
      </c>
      <c r="B113" s="11" t="n">
        <v>45063</v>
      </c>
      <c r="C113" s="11" t="n">
        <v>45066</v>
      </c>
      <c r="D113" s="8" t="s">
        <v>546</v>
      </c>
      <c r="E113" s="8" t="s">
        <v>34</v>
      </c>
      <c r="F113" s="8" t="s">
        <v>154</v>
      </c>
      <c r="G113" s="8" t="s">
        <v>119</v>
      </c>
      <c r="H113" s="8" t="s">
        <v>37</v>
      </c>
      <c r="I113" s="8" t="s">
        <v>143</v>
      </c>
      <c r="J113" s="8" t="s">
        <v>47</v>
      </c>
      <c r="K113" s="8" t="n">
        <v>2</v>
      </c>
      <c r="L113" s="12" t="n">
        <v>1130.74</v>
      </c>
      <c r="M113" s="13" t="n">
        <v>0.1</v>
      </c>
      <c r="N113" s="12" t="n">
        <v>2035.33</v>
      </c>
      <c r="O113" s="12" t="n">
        <v>390.56</v>
      </c>
      <c r="P113" s="8" t="str">
        <f aca="false">TEXT(B113,"mmm-yyyy")</f>
        <v>May-2023</v>
      </c>
      <c r="Q113" s="14" t="n">
        <f aca="false">IFERROR(O113/N113,"")</f>
        <v>0.191890258582146</v>
      </c>
      <c r="R113" s="8" t="str">
        <f aca="false">IF(OR(N113&gt;$U$3,N113&lt;$U$2),"Sales Outlier",IF(OR(O113&gt;$U$6,O113&lt;$U$4),"Profit Outlier",""))</f>
        <v/>
      </c>
    </row>
    <row r="114" customFormat="false" ht="15" hidden="false" customHeight="true" outlineLevel="0" collapsed="false">
      <c r="A114" s="8" t="s">
        <v>1306</v>
      </c>
      <c r="B114" s="11" t="n">
        <v>45063</v>
      </c>
      <c r="C114" s="11" t="n">
        <v>45065</v>
      </c>
      <c r="D114" s="8" t="s">
        <v>1309</v>
      </c>
      <c r="E114" s="8" t="s">
        <v>2285</v>
      </c>
      <c r="F114" s="8" t="s">
        <v>61</v>
      </c>
      <c r="G114" s="8" t="s">
        <v>36</v>
      </c>
      <c r="H114" s="8" t="s">
        <v>77</v>
      </c>
      <c r="I114" s="8" t="s">
        <v>121</v>
      </c>
      <c r="J114" s="8" t="s">
        <v>29</v>
      </c>
      <c r="K114" s="8" t="n">
        <v>1</v>
      </c>
      <c r="L114" s="12" t="n">
        <v>57.6</v>
      </c>
      <c r="M114" s="13" t="n">
        <v>0</v>
      </c>
      <c r="N114" s="12" t="n">
        <v>57.6</v>
      </c>
      <c r="O114" s="12" t="n">
        <v>8.97</v>
      </c>
      <c r="P114" s="8" t="str">
        <f aca="false">TEXT(B114,"mmm-yyyy")</f>
        <v>May-2023</v>
      </c>
      <c r="Q114" s="14" t="n">
        <f aca="false">IFERROR(O114/N114,"")</f>
        <v>0.155729166666667</v>
      </c>
      <c r="R114" s="8" t="str">
        <f aca="false">IF(OR(N114&gt;$U$3,N114&lt;$U$2),"Sales Outlier",IF(OR(O114&gt;$U$6,O114&lt;$U$4),"Profit Outlier",""))</f>
        <v/>
      </c>
    </row>
    <row r="115" customFormat="false" ht="15" hidden="false" customHeight="true" outlineLevel="0" collapsed="false">
      <c r="A115" s="8" t="s">
        <v>169</v>
      </c>
      <c r="B115" s="11" t="n">
        <v>45063</v>
      </c>
      <c r="C115" s="11" t="n">
        <v>45068</v>
      </c>
      <c r="D115" s="8" t="s">
        <v>172</v>
      </c>
      <c r="E115" s="8" t="s">
        <v>34</v>
      </c>
      <c r="F115" s="8" t="s">
        <v>154</v>
      </c>
      <c r="G115" s="8" t="s">
        <v>102</v>
      </c>
      <c r="H115" s="8" t="s">
        <v>45</v>
      </c>
      <c r="I115" s="8" t="s">
        <v>138</v>
      </c>
      <c r="J115" s="8" t="s">
        <v>39</v>
      </c>
      <c r="K115" s="8" t="n">
        <v>2</v>
      </c>
      <c r="L115" s="12" t="n">
        <v>94.77</v>
      </c>
      <c r="M115" s="13" t="n">
        <v>0</v>
      </c>
      <c r="N115" s="12" t="n">
        <v>189.54</v>
      </c>
      <c r="O115" s="12" t="n">
        <v>59.01</v>
      </c>
      <c r="P115" s="8" t="str">
        <f aca="false">TEXT(B115,"mmm-yyyy")</f>
        <v>May-2023</v>
      </c>
      <c r="Q115" s="14" t="n">
        <f aca="false">IFERROR(O115/N115,"")</f>
        <v>0.311332700221589</v>
      </c>
      <c r="R115" s="8" t="str">
        <f aca="false">IF(OR(N115&gt;$U$3,N115&lt;$U$2),"Sales Outlier",IF(OR(O115&gt;$U$6,O115&lt;$U$4),"Profit Outlier",""))</f>
        <v/>
      </c>
    </row>
    <row r="116" customFormat="false" ht="15" hidden="false" customHeight="true" outlineLevel="0" collapsed="false">
      <c r="A116" s="8" t="s">
        <v>818</v>
      </c>
      <c r="B116" s="11" t="n">
        <v>45064</v>
      </c>
      <c r="C116" s="11" t="n">
        <v>45071</v>
      </c>
      <c r="D116" s="8" t="s">
        <v>821</v>
      </c>
      <c r="E116" s="8" t="s">
        <v>2285</v>
      </c>
      <c r="F116" s="8" t="s">
        <v>61</v>
      </c>
      <c r="G116" s="8" t="s">
        <v>62</v>
      </c>
      <c r="H116" s="8" t="s">
        <v>77</v>
      </c>
      <c r="I116" s="8" t="s">
        <v>71</v>
      </c>
      <c r="J116" s="8" t="s">
        <v>47</v>
      </c>
      <c r="K116" s="8" t="n">
        <v>4</v>
      </c>
      <c r="L116" s="12" t="n">
        <v>1035.1</v>
      </c>
      <c r="M116" s="13" t="n">
        <v>0</v>
      </c>
      <c r="N116" s="12" t="n">
        <v>4140.4</v>
      </c>
      <c r="O116" s="12" t="n">
        <v>617.39</v>
      </c>
      <c r="P116" s="8" t="str">
        <f aca="false">TEXT(B116,"mmm-yyyy")</f>
        <v>May-2023</v>
      </c>
      <c r="Q116" s="14" t="n">
        <f aca="false">IFERROR(O116/N116,"")</f>
        <v>0.149113612211381</v>
      </c>
      <c r="R116" s="8" t="str">
        <f aca="false">IF(OR(N116&gt;$U$3,N116&lt;$U$2),"Sales Outlier",IF(OR(O116&gt;$U$6,O116&lt;$U$4),"Profit Outlier",""))</f>
        <v/>
      </c>
    </row>
    <row r="117" customFormat="false" ht="15" hidden="false" customHeight="true" outlineLevel="0" collapsed="false">
      <c r="A117" s="8" t="s">
        <v>331</v>
      </c>
      <c r="B117" s="11" t="n">
        <v>45064</v>
      </c>
      <c r="C117" s="11" t="n">
        <v>45067</v>
      </c>
      <c r="D117" s="8" t="s">
        <v>334</v>
      </c>
      <c r="E117" s="8" t="s">
        <v>2285</v>
      </c>
      <c r="F117" s="8" t="s">
        <v>126</v>
      </c>
      <c r="G117" s="8" t="s">
        <v>82</v>
      </c>
      <c r="H117" s="8" t="s">
        <v>45</v>
      </c>
      <c r="I117" s="8" t="s">
        <v>160</v>
      </c>
      <c r="J117" s="8" t="s">
        <v>47</v>
      </c>
      <c r="K117" s="8" t="n">
        <v>4</v>
      </c>
      <c r="L117" s="12" t="n">
        <v>523.23</v>
      </c>
      <c r="M117" s="13" t="n">
        <v>0</v>
      </c>
      <c r="N117" s="12" t="n">
        <v>2092.92</v>
      </c>
      <c r="O117" s="12" t="n">
        <v>5.84</v>
      </c>
      <c r="P117" s="8" t="str">
        <f aca="false">TEXT(B117,"mmm-yyyy")</f>
        <v>May-2023</v>
      </c>
      <c r="Q117" s="14" t="n">
        <f aca="false">IFERROR(O117/N117,"")</f>
        <v>0.0027903598799763</v>
      </c>
      <c r="R117" s="8" t="str">
        <f aca="false">IF(OR(N117&gt;$U$3,N117&lt;$U$2),"Sales Outlier",IF(OR(O117&gt;$U$6,O117&lt;$U$4),"Profit Outlier",""))</f>
        <v/>
      </c>
    </row>
    <row r="118" customFormat="false" ht="15" hidden="false" customHeight="true" outlineLevel="0" collapsed="false">
      <c r="A118" s="8" t="s">
        <v>1720</v>
      </c>
      <c r="B118" s="11" t="n">
        <v>45064</v>
      </c>
      <c r="C118" s="11" t="n">
        <v>45067</v>
      </c>
      <c r="D118" s="8" t="s">
        <v>1536</v>
      </c>
      <c r="E118" s="8" t="s">
        <v>34</v>
      </c>
      <c r="F118" s="8" t="s">
        <v>61</v>
      </c>
      <c r="G118" s="8" t="s">
        <v>76</v>
      </c>
      <c r="H118" s="8" t="s">
        <v>37</v>
      </c>
      <c r="I118" s="8" t="s">
        <v>404</v>
      </c>
      <c r="J118" s="8" t="s">
        <v>39</v>
      </c>
      <c r="K118" s="8" t="n">
        <v>1</v>
      </c>
      <c r="L118" s="12" t="n">
        <v>1167.13</v>
      </c>
      <c r="M118" s="13" t="n">
        <v>0.05</v>
      </c>
      <c r="N118" s="12" t="n">
        <v>1108.77</v>
      </c>
      <c r="O118" s="12" t="n">
        <v>109.52</v>
      </c>
      <c r="P118" s="8" t="str">
        <f aca="false">TEXT(B118,"mmm-yyyy")</f>
        <v>May-2023</v>
      </c>
      <c r="Q118" s="14" t="n">
        <f aca="false">IFERROR(O118/N118,"")</f>
        <v>0.0987761212875529</v>
      </c>
      <c r="R118" s="8" t="str">
        <f aca="false">IF(OR(N118&gt;$U$3,N118&lt;$U$2),"Sales Outlier",IF(OR(O118&gt;$U$6,O118&lt;$U$4),"Profit Outlier",""))</f>
        <v/>
      </c>
    </row>
    <row r="119" customFormat="false" ht="15" hidden="false" customHeight="true" outlineLevel="0" collapsed="false">
      <c r="A119" s="8" t="s">
        <v>156</v>
      </c>
      <c r="B119" s="11" t="n">
        <v>45067</v>
      </c>
      <c r="C119" s="11" t="n">
        <v>45070</v>
      </c>
      <c r="D119" s="8" t="s">
        <v>159</v>
      </c>
      <c r="E119" s="8" t="s">
        <v>2285</v>
      </c>
      <c r="F119" s="8" t="s">
        <v>61</v>
      </c>
      <c r="G119" s="8" t="s">
        <v>62</v>
      </c>
      <c r="H119" s="8" t="s">
        <v>45</v>
      </c>
      <c r="I119" s="8" t="s">
        <v>160</v>
      </c>
      <c r="J119" s="8" t="s">
        <v>39</v>
      </c>
      <c r="K119" s="8" t="n">
        <v>1</v>
      </c>
      <c r="L119" s="12" t="n">
        <v>367.5</v>
      </c>
      <c r="M119" s="13" t="n">
        <v>0</v>
      </c>
      <c r="N119" s="12" t="n">
        <v>367.5</v>
      </c>
      <c r="O119" s="12" t="n">
        <v>42.42</v>
      </c>
      <c r="P119" s="8" t="str">
        <f aca="false">TEXT(B119,"mmm-yyyy")</f>
        <v>May-2023</v>
      </c>
      <c r="Q119" s="14" t="n">
        <f aca="false">IFERROR(O119/N119,"")</f>
        <v>0.115428571428571</v>
      </c>
      <c r="R119" s="8" t="str">
        <f aca="false">IF(OR(N119&gt;$U$3,N119&lt;$U$2),"Sales Outlier",IF(OR(O119&gt;$U$6,O119&lt;$U$4),"Profit Outlier",""))</f>
        <v/>
      </c>
    </row>
    <row r="120" customFormat="false" ht="15" hidden="false" customHeight="true" outlineLevel="0" collapsed="false">
      <c r="A120" s="8" t="s">
        <v>268</v>
      </c>
      <c r="B120" s="11" t="n">
        <v>45068</v>
      </c>
      <c r="C120" s="11" t="n">
        <v>45069</v>
      </c>
      <c r="D120" s="8" t="s">
        <v>271</v>
      </c>
      <c r="E120" s="8" t="s">
        <v>34</v>
      </c>
      <c r="F120" s="8" t="s">
        <v>61</v>
      </c>
      <c r="G120" s="8" t="s">
        <v>62</v>
      </c>
      <c r="H120" s="8" t="s">
        <v>45</v>
      </c>
      <c r="I120" s="8" t="s">
        <v>149</v>
      </c>
      <c r="J120" s="8" t="s">
        <v>47</v>
      </c>
      <c r="K120" s="8" t="n">
        <v>1</v>
      </c>
      <c r="L120" s="12" t="n">
        <v>999</v>
      </c>
      <c r="M120" s="13" t="n">
        <v>0.1</v>
      </c>
      <c r="N120" s="12" t="n">
        <v>899.1</v>
      </c>
      <c r="O120" s="12" t="n">
        <v>155.47</v>
      </c>
      <c r="P120" s="8" t="str">
        <f aca="false">TEXT(B120,"mmm-yyyy")</f>
        <v>May-2023</v>
      </c>
      <c r="Q120" s="14" t="n">
        <f aca="false">IFERROR(O120/N120,"")</f>
        <v>0.172917361806251</v>
      </c>
      <c r="R120" s="8" t="str">
        <f aca="false">IF(OR(N120&gt;$U$3,N120&lt;$U$2),"Sales Outlier",IF(OR(O120&gt;$U$6,O120&lt;$U$4),"Profit Outlier",""))</f>
        <v/>
      </c>
    </row>
    <row r="121" customFormat="false" ht="15" hidden="false" customHeight="true" outlineLevel="0" collapsed="false">
      <c r="A121" s="8" t="s">
        <v>1379</v>
      </c>
      <c r="B121" s="11" t="n">
        <v>45069</v>
      </c>
      <c r="C121" s="11" t="n">
        <v>45076</v>
      </c>
      <c r="D121" s="8" t="s">
        <v>1469</v>
      </c>
      <c r="E121" s="8" t="s">
        <v>34</v>
      </c>
      <c r="F121" s="8" t="s">
        <v>154</v>
      </c>
      <c r="G121" s="8" t="s">
        <v>182</v>
      </c>
      <c r="H121" s="8" t="s">
        <v>45</v>
      </c>
      <c r="I121" s="8" t="s">
        <v>149</v>
      </c>
      <c r="J121" s="8" t="s">
        <v>39</v>
      </c>
      <c r="K121" s="8" t="n">
        <v>2</v>
      </c>
      <c r="L121" s="12" t="n">
        <v>1022.06</v>
      </c>
      <c r="M121" s="13" t="n">
        <v>0.2</v>
      </c>
      <c r="N121" s="12" t="n">
        <v>1635.3</v>
      </c>
      <c r="O121" s="12" t="n">
        <v>236.79</v>
      </c>
      <c r="P121" s="8" t="str">
        <f aca="false">TEXT(B121,"mmm-yyyy")</f>
        <v>May-2023</v>
      </c>
      <c r="Q121" s="14" t="n">
        <f aca="false">IFERROR(O121/N121,"")</f>
        <v>0.144799119427628</v>
      </c>
      <c r="R121" s="8" t="str">
        <f aca="false">IF(OR(N121&gt;$U$3,N121&lt;$U$2),"Sales Outlier",IF(OR(O121&gt;$U$6,O121&lt;$U$4),"Profit Outlier",""))</f>
        <v/>
      </c>
    </row>
    <row r="122" customFormat="false" ht="15" hidden="false" customHeight="true" outlineLevel="0" collapsed="false">
      <c r="A122" s="8" t="s">
        <v>1085</v>
      </c>
      <c r="B122" s="11" t="n">
        <v>45070</v>
      </c>
      <c r="C122" s="11" t="n">
        <v>45073</v>
      </c>
      <c r="D122" s="8" t="s">
        <v>1087</v>
      </c>
      <c r="E122" s="8" t="s">
        <v>2285</v>
      </c>
      <c r="F122" s="8" t="s">
        <v>154</v>
      </c>
      <c r="G122" s="8" t="s">
        <v>102</v>
      </c>
      <c r="H122" s="8" t="s">
        <v>114</v>
      </c>
      <c r="I122" s="8" t="s">
        <v>115</v>
      </c>
      <c r="J122" s="8" t="s">
        <v>64</v>
      </c>
      <c r="K122" s="8" t="n">
        <v>4</v>
      </c>
      <c r="L122" s="12" t="n">
        <v>554.08</v>
      </c>
      <c r="M122" s="13" t="n">
        <v>0</v>
      </c>
      <c r="N122" s="12" t="n">
        <v>2216.32</v>
      </c>
      <c r="O122" s="12" t="n">
        <v>738.37</v>
      </c>
      <c r="P122" s="8" t="str">
        <f aca="false">TEXT(B122,"mmm-yyyy")</f>
        <v>May-2023</v>
      </c>
      <c r="Q122" s="14" t="n">
        <f aca="false">IFERROR(O122/N122,"")</f>
        <v>0.333151349985562</v>
      </c>
      <c r="R122" s="8" t="str">
        <f aca="false">IF(OR(N122&gt;$U$3,N122&lt;$U$2),"Sales Outlier",IF(OR(O122&gt;$U$6,O122&lt;$U$4),"Profit Outlier",""))</f>
        <v/>
      </c>
    </row>
    <row r="123" customFormat="false" ht="15" hidden="false" customHeight="true" outlineLevel="0" collapsed="false">
      <c r="A123" s="8" t="s">
        <v>1271</v>
      </c>
      <c r="B123" s="11" t="n">
        <v>45070</v>
      </c>
      <c r="C123" s="11" t="n">
        <v>45071</v>
      </c>
      <c r="D123" s="8" t="s">
        <v>2282</v>
      </c>
      <c r="E123" s="8" t="s">
        <v>24</v>
      </c>
      <c r="F123" s="8" t="s">
        <v>126</v>
      </c>
      <c r="G123" s="8" t="s">
        <v>82</v>
      </c>
      <c r="H123" s="8" t="s">
        <v>45</v>
      </c>
      <c r="I123" s="8" t="s">
        <v>160</v>
      </c>
      <c r="J123" s="8" t="s">
        <v>39</v>
      </c>
      <c r="K123" s="8" t="n">
        <v>2</v>
      </c>
      <c r="L123" s="12" t="n">
        <v>118.2</v>
      </c>
      <c r="M123" s="13" t="n">
        <v>0</v>
      </c>
      <c r="N123" s="12" t="n">
        <v>236.4</v>
      </c>
      <c r="O123" s="12" t="n">
        <v>-2.56</v>
      </c>
      <c r="P123" s="8" t="str">
        <f aca="false">TEXT(B123,"mmm-yyyy")</f>
        <v>May-2023</v>
      </c>
      <c r="Q123" s="14" t="n">
        <f aca="false">IFERROR(O123/N123,"")</f>
        <v>-0.01082910321489</v>
      </c>
      <c r="R123" s="8" t="str">
        <f aca="false">IF(OR(N123&gt;$U$3,N123&lt;$U$2),"Sales Outlier",IF(OR(O123&gt;$U$6,O123&lt;$U$4),"Profit Outlier",""))</f>
        <v/>
      </c>
    </row>
    <row r="124" customFormat="false" ht="15" hidden="false" customHeight="true" outlineLevel="0" collapsed="false">
      <c r="A124" s="8" t="s">
        <v>531</v>
      </c>
      <c r="B124" s="11" t="n">
        <v>45070</v>
      </c>
      <c r="C124" s="11" t="n">
        <v>45072</v>
      </c>
      <c r="D124" s="8" t="s">
        <v>534</v>
      </c>
      <c r="E124" s="8" t="s">
        <v>52</v>
      </c>
      <c r="F124" s="8" t="s">
        <v>147</v>
      </c>
      <c r="G124" s="8" t="s">
        <v>215</v>
      </c>
      <c r="H124" s="8" t="s">
        <v>77</v>
      </c>
      <c r="I124" s="8" t="s">
        <v>127</v>
      </c>
      <c r="J124" s="8" t="s">
        <v>29</v>
      </c>
      <c r="K124" s="8" t="n">
        <v>1</v>
      </c>
      <c r="L124" s="12" t="n">
        <v>479.29</v>
      </c>
      <c r="M124" s="13" t="n">
        <v>0</v>
      </c>
      <c r="N124" s="12" t="n">
        <v>479.29</v>
      </c>
      <c r="O124" s="12" t="n">
        <v>142.85</v>
      </c>
      <c r="P124" s="8" t="str">
        <f aca="false">TEXT(B124,"mmm-yyyy")</f>
        <v>May-2023</v>
      </c>
      <c r="Q124" s="14" t="n">
        <f aca="false">IFERROR(O124/N124,"")</f>
        <v>0.298045024932713</v>
      </c>
      <c r="R124" s="8" t="str">
        <f aca="false">IF(OR(N124&gt;$U$3,N124&lt;$U$2),"Sales Outlier",IF(OR(O124&gt;$U$6,O124&lt;$U$4),"Profit Outlier",""))</f>
        <v/>
      </c>
    </row>
    <row r="125" customFormat="false" ht="15" hidden="false" customHeight="true" outlineLevel="0" collapsed="false">
      <c r="A125" s="8" t="s">
        <v>1945</v>
      </c>
      <c r="B125" s="11" t="n">
        <v>45071</v>
      </c>
      <c r="C125" s="11" t="n">
        <v>45077</v>
      </c>
      <c r="D125" s="8" t="s">
        <v>279</v>
      </c>
      <c r="E125" s="8" t="s">
        <v>52</v>
      </c>
      <c r="F125" s="8" t="s">
        <v>147</v>
      </c>
      <c r="G125" s="8" t="s">
        <v>326</v>
      </c>
      <c r="H125" s="8" t="s">
        <v>114</v>
      </c>
      <c r="I125" s="8" t="s">
        <v>201</v>
      </c>
      <c r="J125" s="8" t="s">
        <v>64</v>
      </c>
      <c r="K125" s="8" t="n">
        <v>4</v>
      </c>
      <c r="L125" s="12" t="n">
        <v>661.49</v>
      </c>
      <c r="M125" s="13" t="n">
        <v>0.1</v>
      </c>
      <c r="N125" s="12" t="n">
        <v>2381.36</v>
      </c>
      <c r="O125" s="12" t="n">
        <v>237.28</v>
      </c>
      <c r="P125" s="8" t="str">
        <f aca="false">TEXT(B125,"mmm-yyyy")</f>
        <v>May-2023</v>
      </c>
      <c r="Q125" s="14" t="n">
        <f aca="false">IFERROR(O125/N125,"")</f>
        <v>0.0996405415392885</v>
      </c>
      <c r="R125" s="8" t="str">
        <f aca="false">IF(OR(N125&gt;$U$3,N125&lt;$U$2),"Sales Outlier",IF(OR(O125&gt;$U$6,O125&lt;$U$4),"Profit Outlier",""))</f>
        <v/>
      </c>
    </row>
    <row r="126" customFormat="false" ht="15" hidden="false" customHeight="true" outlineLevel="0" collapsed="false">
      <c r="A126" s="8" t="s">
        <v>1835</v>
      </c>
      <c r="B126" s="11" t="n">
        <v>45071</v>
      </c>
      <c r="C126" s="11" t="n">
        <v>44932</v>
      </c>
      <c r="D126" s="8" t="s">
        <v>1338</v>
      </c>
      <c r="E126" s="8" t="s">
        <v>34</v>
      </c>
      <c r="F126" s="8" t="s">
        <v>147</v>
      </c>
      <c r="G126" s="8" t="s">
        <v>54</v>
      </c>
      <c r="H126" s="8" t="s">
        <v>45</v>
      </c>
      <c r="I126" s="8" t="s">
        <v>138</v>
      </c>
      <c r="J126" s="8" t="s">
        <v>39</v>
      </c>
      <c r="K126" s="8" t="n">
        <v>4</v>
      </c>
      <c r="L126" s="12" t="n">
        <v>80.55</v>
      </c>
      <c r="M126" s="13" t="n">
        <v>0.1</v>
      </c>
      <c r="N126" s="12" t="n">
        <v>289.98</v>
      </c>
      <c r="O126" s="12" t="n">
        <v>-15.95</v>
      </c>
      <c r="P126" s="8" t="str">
        <f aca="false">TEXT(B126,"mmm-yyyy")</f>
        <v>May-2023</v>
      </c>
      <c r="Q126" s="14" t="n">
        <f aca="false">IFERROR(O126/N126,"")</f>
        <v>-0.0550037933650597</v>
      </c>
      <c r="R126" s="8" t="str">
        <f aca="false">IF(OR(N126&gt;$U$3,N126&lt;$U$2),"Sales Outlier",IF(OR(O126&gt;$U$6,O126&lt;$U$4),"Profit Outlier",""))</f>
        <v/>
      </c>
    </row>
    <row r="127" customFormat="false" ht="15" hidden="false" customHeight="true" outlineLevel="0" collapsed="false">
      <c r="A127" s="8" t="s">
        <v>1656</v>
      </c>
      <c r="B127" s="11" t="n">
        <v>45072</v>
      </c>
      <c r="C127" s="11" t="n">
        <v>45078</v>
      </c>
      <c r="D127" s="8" t="s">
        <v>546</v>
      </c>
      <c r="E127" s="8" t="s">
        <v>52</v>
      </c>
      <c r="F127" s="8" t="s">
        <v>154</v>
      </c>
      <c r="G127" s="8" t="s">
        <v>102</v>
      </c>
      <c r="H127" s="8" t="s">
        <v>45</v>
      </c>
      <c r="I127" s="8" t="s">
        <v>138</v>
      </c>
      <c r="J127" s="8" t="s">
        <v>29</v>
      </c>
      <c r="K127" s="8" t="n">
        <v>5</v>
      </c>
      <c r="L127" s="12" t="n">
        <v>592.97</v>
      </c>
      <c r="M127" s="13" t="n">
        <v>0</v>
      </c>
      <c r="N127" s="12" t="n">
        <v>2964.85</v>
      </c>
      <c r="O127" s="12" t="n">
        <v>993.15</v>
      </c>
      <c r="P127" s="8" t="str">
        <f aca="false">TEXT(B127,"mmm-yyyy")</f>
        <v>May-2023</v>
      </c>
      <c r="Q127" s="14" t="n">
        <f aca="false">IFERROR(O127/N127,"")</f>
        <v>0.334974787931936</v>
      </c>
      <c r="R127" s="8" t="str">
        <f aca="false">IF(OR(N127&gt;$U$3,N127&lt;$U$2),"Sales Outlier",IF(OR(O127&gt;$U$6,O127&lt;$U$4),"Profit Outlier",""))</f>
        <v/>
      </c>
    </row>
    <row r="128" customFormat="false" ht="15" hidden="false" customHeight="true" outlineLevel="0" collapsed="false">
      <c r="A128" s="8" t="s">
        <v>1570</v>
      </c>
      <c r="B128" s="11" t="n">
        <v>45072</v>
      </c>
      <c r="C128" s="11" t="n">
        <v>45075</v>
      </c>
      <c r="D128" s="8" t="s">
        <v>51</v>
      </c>
      <c r="E128" s="8" t="s">
        <v>52</v>
      </c>
      <c r="F128" s="8" t="s">
        <v>154</v>
      </c>
      <c r="G128" s="8" t="s">
        <v>102</v>
      </c>
      <c r="H128" s="8" t="s">
        <v>132</v>
      </c>
      <c r="I128" s="8" t="s">
        <v>241</v>
      </c>
      <c r="J128" s="8" t="s">
        <v>64</v>
      </c>
      <c r="K128" s="8" t="n">
        <v>1</v>
      </c>
      <c r="L128" s="12" t="n">
        <v>288.33</v>
      </c>
      <c r="M128" s="13" t="n">
        <v>0.05</v>
      </c>
      <c r="N128" s="12" t="n">
        <v>273.91</v>
      </c>
      <c r="O128" s="12" t="n">
        <v>-11.55</v>
      </c>
      <c r="P128" s="8" t="str">
        <f aca="false">TEXT(B128,"mmm-yyyy")</f>
        <v>May-2023</v>
      </c>
      <c r="Q128" s="14" t="n">
        <f aca="false">IFERROR(O128/N128,"")</f>
        <v>-0.042167135190391</v>
      </c>
      <c r="R128" s="8" t="str">
        <f aca="false">IF(OR(N128&gt;$U$3,N128&lt;$U$2),"Sales Outlier",IF(OR(O128&gt;$U$6,O128&lt;$U$4),"Profit Outlier",""))</f>
        <v/>
      </c>
    </row>
    <row r="129" customFormat="false" ht="15" hidden="false" customHeight="true" outlineLevel="0" collapsed="false">
      <c r="A129" s="8" t="s">
        <v>953</v>
      </c>
      <c r="B129" s="11" t="n">
        <v>45073</v>
      </c>
      <c r="C129" s="11" t="n">
        <v>45075</v>
      </c>
      <c r="D129" s="8" t="s">
        <v>305</v>
      </c>
      <c r="E129" s="8" t="s">
        <v>2285</v>
      </c>
      <c r="F129" s="8" t="s">
        <v>147</v>
      </c>
      <c r="G129" s="8" t="s">
        <v>215</v>
      </c>
      <c r="H129" s="8" t="s">
        <v>45</v>
      </c>
      <c r="I129" s="8" t="s">
        <v>46</v>
      </c>
      <c r="J129" s="8" t="s">
        <v>29</v>
      </c>
      <c r="K129" s="8" t="n">
        <v>2</v>
      </c>
      <c r="L129" s="12" t="n">
        <v>599.71</v>
      </c>
      <c r="M129" s="13" t="n">
        <v>0.2</v>
      </c>
      <c r="N129" s="12" t="n">
        <v>959.54</v>
      </c>
      <c r="O129" s="12" t="n">
        <v>196.63</v>
      </c>
      <c r="P129" s="8" t="str">
        <f aca="false">TEXT(B129,"mmm-yyyy")</f>
        <v>May-2023</v>
      </c>
      <c r="Q129" s="14" t="n">
        <f aca="false">IFERROR(O129/N129,"")</f>
        <v>0.204921108030932</v>
      </c>
      <c r="R129" s="8" t="str">
        <f aca="false">IF(OR(N129&gt;$U$3,N129&lt;$U$2),"Sales Outlier",IF(OR(O129&gt;$U$6,O129&lt;$U$4),"Profit Outlier",""))</f>
        <v/>
      </c>
    </row>
    <row r="130" customFormat="false" ht="15" hidden="false" customHeight="true" outlineLevel="0" collapsed="false">
      <c r="A130" s="8" t="s">
        <v>712</v>
      </c>
      <c r="B130" s="11" t="n">
        <v>45073</v>
      </c>
      <c r="C130" s="11" t="n">
        <v>45078</v>
      </c>
      <c r="D130" s="8" t="s">
        <v>715</v>
      </c>
      <c r="E130" s="8" t="s">
        <v>34</v>
      </c>
      <c r="F130" s="8" t="s">
        <v>154</v>
      </c>
      <c r="G130" s="8" t="s">
        <v>182</v>
      </c>
      <c r="H130" s="8" t="s">
        <v>37</v>
      </c>
      <c r="I130" s="8" t="s">
        <v>38</v>
      </c>
      <c r="J130" s="8" t="s">
        <v>29</v>
      </c>
      <c r="K130" s="8" t="n">
        <v>4</v>
      </c>
      <c r="L130" s="12" t="n">
        <v>424.47</v>
      </c>
      <c r="M130" s="13" t="n">
        <v>0.05</v>
      </c>
      <c r="N130" s="12" t="n">
        <v>1612.99</v>
      </c>
      <c r="O130" s="12" t="n">
        <v>223.75</v>
      </c>
      <c r="P130" s="8" t="str">
        <f aca="false">TEXT(B130,"mmm-yyyy")</f>
        <v>May-2023</v>
      </c>
      <c r="Q130" s="14" t="n">
        <f aca="false">IFERROR(O130/N130,"")</f>
        <v>0.13871753699651</v>
      </c>
      <c r="R130" s="8" t="str">
        <f aca="false">IF(OR(N130&gt;$U$3,N130&lt;$U$2),"Sales Outlier",IF(OR(O130&gt;$U$6,O130&lt;$U$4),"Profit Outlier",""))</f>
        <v/>
      </c>
    </row>
    <row r="131" customFormat="false" ht="15" hidden="false" customHeight="true" outlineLevel="0" collapsed="false">
      <c r="A131" s="8" t="s">
        <v>272</v>
      </c>
      <c r="B131" s="11" t="n">
        <v>45075</v>
      </c>
      <c r="C131" s="11" t="n">
        <v>45077</v>
      </c>
      <c r="D131" s="8" t="s">
        <v>275</v>
      </c>
      <c r="E131" s="8" t="s">
        <v>24</v>
      </c>
      <c r="F131" s="8" t="s">
        <v>154</v>
      </c>
      <c r="G131" s="8" t="s">
        <v>182</v>
      </c>
      <c r="H131" s="8" t="s">
        <v>132</v>
      </c>
      <c r="I131" s="8" t="s">
        <v>104</v>
      </c>
      <c r="J131" s="8" t="s">
        <v>64</v>
      </c>
      <c r="K131" s="8" t="n">
        <v>2</v>
      </c>
      <c r="L131" s="12" t="n">
        <v>69.94</v>
      </c>
      <c r="M131" s="13" t="n">
        <v>0.15</v>
      </c>
      <c r="N131" s="12" t="n">
        <v>59.45</v>
      </c>
      <c r="O131" s="12" t="n">
        <v>3.65</v>
      </c>
      <c r="P131" s="8" t="str">
        <f aca="false">TEXT(B131,"mmm-yyyy")</f>
        <v>May-2023</v>
      </c>
      <c r="Q131" s="14" t="n">
        <f aca="false">IFERROR(O131/N131,"")</f>
        <v>0.0613961312026913</v>
      </c>
      <c r="R131" s="8" t="str">
        <f aca="false">IF(OR(N131&gt;$U$3,N131&lt;$U$2),"Sales Outlier",IF(OR(O131&gt;$U$6,O131&lt;$U$4),"Profit Outlier",""))</f>
        <v/>
      </c>
    </row>
    <row r="132" customFormat="false" ht="15" hidden="false" customHeight="true" outlineLevel="0" collapsed="false">
      <c r="A132" s="8" t="s">
        <v>1081</v>
      </c>
      <c r="B132" s="11" t="n">
        <v>45081</v>
      </c>
      <c r="C132" s="11" t="n">
        <v>45087</v>
      </c>
      <c r="D132" s="8" t="s">
        <v>1084</v>
      </c>
      <c r="E132" s="8" t="s">
        <v>34</v>
      </c>
      <c r="F132" s="8" t="s">
        <v>147</v>
      </c>
      <c r="G132" s="8" t="s">
        <v>326</v>
      </c>
      <c r="H132" s="8" t="s">
        <v>45</v>
      </c>
      <c r="I132" s="8" t="s">
        <v>138</v>
      </c>
      <c r="J132" s="8" t="s">
        <v>29</v>
      </c>
      <c r="K132" s="8" t="n">
        <v>4</v>
      </c>
      <c r="L132" s="12" t="n">
        <v>557.67</v>
      </c>
      <c r="M132" s="13" t="n">
        <v>0.05</v>
      </c>
      <c r="N132" s="12" t="n">
        <v>2119.15</v>
      </c>
      <c r="O132" s="12" t="n">
        <v>-17.8</v>
      </c>
      <c r="P132" s="8" t="str">
        <f aca="false">TEXT(B132,"mmm-yyyy")</f>
        <v>Jun-2023</v>
      </c>
      <c r="Q132" s="14" t="n">
        <f aca="false">IFERROR(O132/N132,"")</f>
        <v>-0.00839959417691055</v>
      </c>
      <c r="R132" s="8" t="str">
        <f aca="false">IF(OR(N132&gt;$U$3,N132&lt;$U$2),"Sales Outlier",IF(OR(O132&gt;$U$6,O132&lt;$U$4),"Profit Outlier",""))</f>
        <v/>
      </c>
    </row>
    <row r="133" customFormat="false" ht="15" hidden="false" customHeight="true" outlineLevel="0" collapsed="false">
      <c r="A133" s="8" t="s">
        <v>2204</v>
      </c>
      <c r="B133" s="11" t="n">
        <v>45085</v>
      </c>
      <c r="C133" s="11" t="n">
        <v>45146</v>
      </c>
      <c r="D133" s="8" t="s">
        <v>2206</v>
      </c>
      <c r="E133" s="8" t="s">
        <v>2285</v>
      </c>
      <c r="F133" s="8" t="s">
        <v>154</v>
      </c>
      <c r="G133" s="8" t="s">
        <v>102</v>
      </c>
      <c r="H133" s="8" t="s">
        <v>77</v>
      </c>
      <c r="I133" s="8" t="s">
        <v>121</v>
      </c>
      <c r="J133" s="8" t="s">
        <v>39</v>
      </c>
      <c r="K133" s="8" t="n">
        <v>1</v>
      </c>
      <c r="L133" s="12" t="n">
        <v>543.54</v>
      </c>
      <c r="M133" s="13" t="n">
        <v>0</v>
      </c>
      <c r="N133" s="12" t="n">
        <v>543.54</v>
      </c>
      <c r="O133" s="12" t="n">
        <v>98.97</v>
      </c>
      <c r="P133" s="8" t="str">
        <f aca="false">TEXT(B133,"mmm-yyyy")</f>
        <v>Jun-2023</v>
      </c>
      <c r="Q133" s="14" t="n">
        <f aca="false">IFERROR(O133/N133,"")</f>
        <v>0.182084115244508</v>
      </c>
      <c r="R133" s="8" t="str">
        <f aca="false">IF(OR(N133&gt;$U$3,N133&lt;$U$2),"Sales Outlier",IF(OR(O133&gt;$U$6,O133&lt;$U$4),"Profit Outlier",""))</f>
        <v/>
      </c>
    </row>
    <row r="134" customFormat="false" ht="15" hidden="false" customHeight="true" outlineLevel="0" collapsed="false">
      <c r="A134" s="8" t="s">
        <v>650</v>
      </c>
      <c r="B134" s="11" t="n">
        <v>45086</v>
      </c>
      <c r="C134" s="11" t="n">
        <v>45182</v>
      </c>
      <c r="D134" s="8" t="s">
        <v>653</v>
      </c>
      <c r="E134" s="8" t="s">
        <v>2285</v>
      </c>
      <c r="F134" s="8" t="s">
        <v>147</v>
      </c>
      <c r="G134" s="8" t="s">
        <v>326</v>
      </c>
      <c r="H134" s="8" t="s">
        <v>114</v>
      </c>
      <c r="I134" s="8" t="s">
        <v>115</v>
      </c>
      <c r="J134" s="8" t="s">
        <v>29</v>
      </c>
      <c r="K134" s="8" t="n">
        <v>5</v>
      </c>
      <c r="L134" s="12" t="n">
        <v>789.56</v>
      </c>
      <c r="M134" s="13" t="n">
        <v>0.05</v>
      </c>
      <c r="N134" s="12" t="n">
        <v>3750.41</v>
      </c>
      <c r="O134" s="12" t="n">
        <v>454.59</v>
      </c>
      <c r="P134" s="8" t="str">
        <f aca="false">TEXT(B134,"mmm-yyyy")</f>
        <v>Jun-2023</v>
      </c>
      <c r="Q134" s="14" t="n">
        <f aca="false">IFERROR(O134/N134,"")</f>
        <v>0.121210747624926</v>
      </c>
      <c r="R134" s="8" t="str">
        <f aca="false">IF(OR(N134&gt;$U$3,N134&lt;$U$2),"Sales Outlier",IF(OR(O134&gt;$U$6,O134&lt;$U$4),"Profit Outlier",""))</f>
        <v/>
      </c>
    </row>
    <row r="135" customFormat="false" ht="15" hidden="false" customHeight="true" outlineLevel="0" collapsed="false">
      <c r="A135" s="8" t="s">
        <v>2063</v>
      </c>
      <c r="B135" s="11" t="n">
        <v>45089</v>
      </c>
      <c r="C135" s="11" t="n">
        <v>45119</v>
      </c>
      <c r="D135" s="8" t="s">
        <v>2282</v>
      </c>
      <c r="E135" s="8" t="s">
        <v>2285</v>
      </c>
      <c r="F135" s="8" t="s">
        <v>154</v>
      </c>
      <c r="G135" s="8" t="s">
        <v>119</v>
      </c>
      <c r="H135" s="8" t="s">
        <v>77</v>
      </c>
      <c r="I135" s="8" t="s">
        <v>121</v>
      </c>
      <c r="J135" s="8" t="s">
        <v>47</v>
      </c>
      <c r="K135" s="8" t="n">
        <v>1</v>
      </c>
      <c r="L135" s="12" t="n">
        <v>1086.57</v>
      </c>
      <c r="M135" s="13" t="n">
        <v>0</v>
      </c>
      <c r="N135" s="12" t="n">
        <v>1086.57</v>
      </c>
      <c r="O135" s="12" t="n">
        <v>-26.52</v>
      </c>
      <c r="P135" s="8" t="str">
        <f aca="false">TEXT(B135,"mmm-yyyy")</f>
        <v>Jun-2023</v>
      </c>
      <c r="Q135" s="14" t="n">
        <f aca="false">IFERROR(O135/N135,"")</f>
        <v>-0.0244070791573484</v>
      </c>
      <c r="R135" s="8" t="str">
        <f aca="false">IF(OR(N135&gt;$U$3,N135&lt;$U$2),"Sales Outlier",IF(OR(O135&gt;$U$6,O135&lt;$U$4),"Profit Outlier",""))</f>
        <v/>
      </c>
    </row>
    <row r="136" customFormat="false" ht="15" hidden="false" customHeight="true" outlineLevel="0" collapsed="false">
      <c r="A136" s="8" t="s">
        <v>634</v>
      </c>
      <c r="B136" s="11" t="n">
        <v>45089</v>
      </c>
      <c r="C136" s="11" t="n">
        <v>45096</v>
      </c>
      <c r="D136" s="8" t="s">
        <v>637</v>
      </c>
      <c r="E136" s="8" t="s">
        <v>52</v>
      </c>
      <c r="F136" s="8" t="s">
        <v>147</v>
      </c>
      <c r="G136" s="8" t="s">
        <v>326</v>
      </c>
      <c r="H136" s="8" t="s">
        <v>77</v>
      </c>
      <c r="I136" s="8" t="s">
        <v>121</v>
      </c>
      <c r="J136" s="8" t="s">
        <v>39</v>
      </c>
      <c r="K136" s="8" t="n">
        <v>2</v>
      </c>
      <c r="L136" s="12" t="n">
        <v>1059.17</v>
      </c>
      <c r="M136" s="13" t="n">
        <v>0.1</v>
      </c>
      <c r="N136" s="12" t="n">
        <v>1906.51</v>
      </c>
      <c r="O136" s="12" t="n">
        <v>584.75</v>
      </c>
      <c r="P136" s="8" t="str">
        <f aca="false">TEXT(B136,"mmm-yyyy")</f>
        <v>Jun-2023</v>
      </c>
      <c r="Q136" s="14" t="n">
        <f aca="false">IFERROR(O136/N136,"")</f>
        <v>0.306712264818962</v>
      </c>
      <c r="R136" s="8" t="str">
        <f aca="false">IF(OR(N136&gt;$U$3,N136&lt;$U$2),"Sales Outlier",IF(OR(O136&gt;$U$6,O136&lt;$U$4),"Profit Outlier",""))</f>
        <v/>
      </c>
    </row>
    <row r="137" customFormat="false" ht="15" hidden="false" customHeight="true" outlineLevel="0" collapsed="false">
      <c r="A137" s="8" t="s">
        <v>2156</v>
      </c>
      <c r="B137" s="11" t="n">
        <v>45092</v>
      </c>
      <c r="C137" s="11" t="n">
        <v>45097</v>
      </c>
      <c r="D137" s="8" t="s">
        <v>723</v>
      </c>
      <c r="E137" s="8" t="s">
        <v>24</v>
      </c>
      <c r="F137" s="8" t="s">
        <v>61</v>
      </c>
      <c r="G137" s="8" t="s">
        <v>76</v>
      </c>
      <c r="H137" s="8" t="s">
        <v>77</v>
      </c>
      <c r="I137" s="8" t="s">
        <v>425</v>
      </c>
      <c r="J137" s="8" t="s">
        <v>47</v>
      </c>
      <c r="K137" s="8" t="n">
        <v>4</v>
      </c>
      <c r="L137" s="12" t="n">
        <v>956.19</v>
      </c>
      <c r="M137" s="13" t="n">
        <v>0</v>
      </c>
      <c r="N137" s="12" t="n">
        <v>3824.76</v>
      </c>
      <c r="O137" s="12" t="n">
        <v>660.1</v>
      </c>
      <c r="P137" s="8" t="str">
        <f aca="false">TEXT(B137,"mmm-yyyy")</f>
        <v>Jun-2023</v>
      </c>
      <c r="Q137" s="14" t="n">
        <f aca="false">IFERROR(O137/N137,"")</f>
        <v>0.172585992323701</v>
      </c>
      <c r="R137" s="8" t="str">
        <f aca="false">IF(OR(N137&gt;$U$3,N137&lt;$U$2),"Sales Outlier",IF(OR(O137&gt;$U$6,O137&lt;$U$4),"Profit Outlier",""))</f>
        <v/>
      </c>
    </row>
    <row r="138" customFormat="false" ht="15" hidden="false" customHeight="true" outlineLevel="0" collapsed="false">
      <c r="A138" s="8" t="s">
        <v>774</v>
      </c>
      <c r="B138" s="11" t="n">
        <v>45093</v>
      </c>
      <c r="C138" s="11" t="n">
        <v>45098</v>
      </c>
      <c r="D138" s="8" t="s">
        <v>2292</v>
      </c>
      <c r="E138" s="8" t="s">
        <v>24</v>
      </c>
      <c r="F138" s="8" t="s">
        <v>147</v>
      </c>
      <c r="G138" s="8" t="s">
        <v>326</v>
      </c>
      <c r="H138" s="8" t="s">
        <v>132</v>
      </c>
      <c r="I138" s="8" t="s">
        <v>220</v>
      </c>
      <c r="J138" s="8" t="s">
        <v>39</v>
      </c>
      <c r="K138" s="8" t="n">
        <v>4</v>
      </c>
      <c r="L138" s="12" t="n">
        <v>38.52</v>
      </c>
      <c r="M138" s="13" t="n">
        <v>0.1</v>
      </c>
      <c r="N138" s="12" t="n">
        <v>138.67</v>
      </c>
      <c r="O138" s="12" t="n">
        <v>-1.28</v>
      </c>
      <c r="P138" s="8" t="str">
        <f aca="false">TEXT(B138,"mmm-yyyy")</f>
        <v>Jun-2023</v>
      </c>
      <c r="Q138" s="14" t="n">
        <f aca="false">IFERROR(O138/N138,"")</f>
        <v>-0.00923054734261196</v>
      </c>
      <c r="R138" s="8" t="str">
        <f aca="false">IF(OR(N138&gt;$U$3,N138&lt;$U$2),"Sales Outlier",IF(OR(O138&gt;$U$6,O138&lt;$U$4),"Profit Outlier",""))</f>
        <v/>
      </c>
    </row>
    <row r="139" customFormat="false" ht="15" hidden="false" customHeight="true" outlineLevel="0" collapsed="false">
      <c r="A139" s="8" t="s">
        <v>1252</v>
      </c>
      <c r="B139" s="11" t="n">
        <v>45094</v>
      </c>
      <c r="C139" s="11" t="n">
        <v>45095</v>
      </c>
      <c r="D139" s="8" t="s">
        <v>1255</v>
      </c>
      <c r="E139" s="8" t="s">
        <v>52</v>
      </c>
      <c r="F139" s="8" t="s">
        <v>61</v>
      </c>
      <c r="G139" s="8" t="s">
        <v>62</v>
      </c>
      <c r="H139" s="8" t="s">
        <v>45</v>
      </c>
      <c r="I139" s="8" t="s">
        <v>160</v>
      </c>
      <c r="J139" s="8" t="s">
        <v>29</v>
      </c>
      <c r="K139" s="8" t="n">
        <v>1</v>
      </c>
      <c r="L139" s="12" t="n">
        <v>481.09</v>
      </c>
      <c r="M139" s="13" t="n">
        <v>0</v>
      </c>
      <c r="N139" s="12" t="n">
        <v>481.09</v>
      </c>
      <c r="O139" s="12" t="n">
        <v>30.04</v>
      </c>
      <c r="P139" s="8" t="str">
        <f aca="false">TEXT(B139,"mmm-yyyy")</f>
        <v>Jun-2023</v>
      </c>
      <c r="Q139" s="14" t="n">
        <f aca="false">IFERROR(O139/N139,"")</f>
        <v>0.0624415390051757</v>
      </c>
      <c r="R139" s="8" t="str">
        <f aca="false">IF(OR(N139&gt;$U$3,N139&lt;$U$2),"Sales Outlier",IF(OR(O139&gt;$U$6,O139&lt;$U$4),"Profit Outlier",""))</f>
        <v/>
      </c>
    </row>
    <row r="140" customFormat="false" ht="15" hidden="false" customHeight="true" outlineLevel="0" collapsed="false">
      <c r="A140" s="8" t="s">
        <v>1887</v>
      </c>
      <c r="B140" s="11" t="n">
        <v>45102</v>
      </c>
      <c r="C140" s="11" t="n">
        <v>45103</v>
      </c>
      <c r="D140" s="8" t="s">
        <v>1889</v>
      </c>
      <c r="E140" s="8" t="s">
        <v>24</v>
      </c>
      <c r="F140" s="8" t="s">
        <v>126</v>
      </c>
      <c r="G140" s="8" t="s">
        <v>89</v>
      </c>
      <c r="H140" s="8" t="s">
        <v>132</v>
      </c>
      <c r="I140" s="8" t="s">
        <v>56</v>
      </c>
      <c r="J140" s="8" t="s">
        <v>64</v>
      </c>
      <c r="K140" s="8" t="n">
        <v>2</v>
      </c>
      <c r="L140" s="12" t="n">
        <v>412.88</v>
      </c>
      <c r="M140" s="13" t="n">
        <v>0.2</v>
      </c>
      <c r="N140" s="12" t="n">
        <v>330.3</v>
      </c>
      <c r="O140" s="12" t="n">
        <v>29.65</v>
      </c>
      <c r="P140" s="8" t="str">
        <f aca="false">TEXT(B140,"mmm-yyyy")</f>
        <v>Jun-2023</v>
      </c>
      <c r="Q140" s="14" t="n">
        <f aca="false">IFERROR(O140/N140,"")</f>
        <v>0.0897668785952165</v>
      </c>
      <c r="R140" s="8" t="str">
        <f aca="false">IF(OR(N140&gt;$U$3,N140&lt;$U$2),"Sales Outlier",IF(OR(O140&gt;$U$6,O140&lt;$U$4),"Profit Outlier",""))</f>
        <v/>
      </c>
    </row>
    <row r="141" customFormat="false" ht="15" hidden="false" customHeight="true" outlineLevel="0" collapsed="false">
      <c r="A141" s="8" t="s">
        <v>457</v>
      </c>
      <c r="B141" s="11" t="n">
        <v>45103</v>
      </c>
      <c r="C141" s="11" t="n">
        <v>45106</v>
      </c>
      <c r="D141" s="8" t="s">
        <v>460</v>
      </c>
      <c r="E141" s="8" t="s">
        <v>24</v>
      </c>
      <c r="F141" s="8" t="s">
        <v>126</v>
      </c>
      <c r="G141" s="8" t="s">
        <v>82</v>
      </c>
      <c r="H141" s="8" t="s">
        <v>114</v>
      </c>
      <c r="I141" s="8" t="s">
        <v>297</v>
      </c>
      <c r="J141" s="8" t="s">
        <v>64</v>
      </c>
      <c r="K141" s="8" t="n">
        <v>1</v>
      </c>
      <c r="L141" s="12" t="n">
        <v>792.04</v>
      </c>
      <c r="M141" s="13" t="n">
        <v>0.05</v>
      </c>
      <c r="N141" s="12" t="n">
        <v>752.44</v>
      </c>
      <c r="O141" s="12" t="n">
        <v>156.6</v>
      </c>
      <c r="P141" s="8" t="str">
        <f aca="false">TEXT(B141,"mmm-yyyy")</f>
        <v>Jun-2023</v>
      </c>
      <c r="Q141" s="14" t="n">
        <f aca="false">IFERROR(O141/N141,"")</f>
        <v>0.208122906809845</v>
      </c>
      <c r="R141" s="8" t="str">
        <f aca="false">IF(OR(N141&gt;$U$3,N141&lt;$U$2),"Sales Outlier",IF(OR(O141&gt;$U$6,O141&lt;$U$4),"Profit Outlier",""))</f>
        <v/>
      </c>
    </row>
    <row r="142" customFormat="false" ht="15" hidden="false" customHeight="true" outlineLevel="0" collapsed="false">
      <c r="A142" s="8" t="s">
        <v>1092</v>
      </c>
      <c r="B142" s="11" t="n">
        <v>45105</v>
      </c>
      <c r="C142" s="11" t="n">
        <v>45108</v>
      </c>
      <c r="D142" s="8" t="s">
        <v>1095</v>
      </c>
      <c r="E142" s="8" t="s">
        <v>52</v>
      </c>
      <c r="F142" s="8" t="s">
        <v>147</v>
      </c>
      <c r="G142" s="8" t="s">
        <v>54</v>
      </c>
      <c r="H142" s="8" t="s">
        <v>114</v>
      </c>
      <c r="I142" s="8" t="s">
        <v>109</v>
      </c>
      <c r="J142" s="8" t="s">
        <v>47</v>
      </c>
      <c r="K142" s="8" t="n">
        <v>3</v>
      </c>
      <c r="L142" s="12" t="n">
        <v>213.11</v>
      </c>
      <c r="M142" s="13" t="n">
        <v>0.1</v>
      </c>
      <c r="N142" s="12" t="n">
        <v>575.4</v>
      </c>
      <c r="O142" s="12" t="n">
        <v>-52.1</v>
      </c>
      <c r="P142" s="8" t="str">
        <f aca="false">TEXT(B142,"mmm-yyyy")</f>
        <v>Jun-2023</v>
      </c>
      <c r="Q142" s="14" t="n">
        <f aca="false">IFERROR(O142/N142,"")</f>
        <v>-0.0905457073340285</v>
      </c>
      <c r="R142" s="8" t="str">
        <f aca="false">IF(OR(N142&gt;$U$3,N142&lt;$U$2),"Sales Outlier",IF(OR(O142&gt;$U$6,O142&lt;$U$4),"Profit Outlier",""))</f>
        <v/>
      </c>
    </row>
    <row r="143" customFormat="false" ht="15" hidden="false" customHeight="true" outlineLevel="0" collapsed="false">
      <c r="A143" s="8" t="s">
        <v>2047</v>
      </c>
      <c r="B143" s="11" t="n">
        <v>45105</v>
      </c>
      <c r="C143" s="11" t="n">
        <v>45108</v>
      </c>
      <c r="D143" s="8" t="s">
        <v>868</v>
      </c>
      <c r="E143" s="8" t="s">
        <v>2285</v>
      </c>
      <c r="F143" s="8" t="s">
        <v>154</v>
      </c>
      <c r="G143" s="8" t="s">
        <v>102</v>
      </c>
      <c r="H143" s="8" t="s">
        <v>132</v>
      </c>
      <c r="I143" s="8" t="s">
        <v>220</v>
      </c>
      <c r="J143" s="8" t="s">
        <v>39</v>
      </c>
      <c r="K143" s="8" t="n">
        <v>2</v>
      </c>
      <c r="L143" s="12" t="n">
        <v>708.68</v>
      </c>
      <c r="M143" s="13" t="n">
        <v>0</v>
      </c>
      <c r="N143" s="12" t="n">
        <v>1417.36</v>
      </c>
      <c r="O143" s="12" t="n">
        <v>354.49</v>
      </c>
      <c r="P143" s="8" t="str">
        <f aca="false">TEXT(B143,"mmm-yyyy")</f>
        <v>Jun-2023</v>
      </c>
      <c r="Q143" s="14" t="n">
        <f aca="false">IFERROR(O143/N143,"")</f>
        <v>0.250105830558221</v>
      </c>
      <c r="R143" s="8" t="str">
        <f aca="false">IF(OR(N143&gt;$U$3,N143&lt;$U$2),"Sales Outlier",IF(OR(O143&gt;$U$6,O143&lt;$U$4),"Profit Outlier",""))</f>
        <v/>
      </c>
    </row>
    <row r="144" customFormat="false" ht="15" hidden="false" customHeight="true" outlineLevel="0" collapsed="false">
      <c r="A144" s="8" t="s">
        <v>1104</v>
      </c>
      <c r="B144" s="11" t="n">
        <v>45108</v>
      </c>
      <c r="C144" s="11" t="n">
        <v>45112</v>
      </c>
      <c r="D144" s="8" t="s">
        <v>1106</v>
      </c>
      <c r="E144" s="8" t="s">
        <v>34</v>
      </c>
      <c r="F144" s="8" t="s">
        <v>126</v>
      </c>
      <c r="G144" s="8" t="s">
        <v>26</v>
      </c>
      <c r="H144" s="8" t="s">
        <v>77</v>
      </c>
      <c r="I144" s="8" t="s">
        <v>127</v>
      </c>
      <c r="J144" s="8" t="s">
        <v>39</v>
      </c>
      <c r="K144" s="8" t="n">
        <v>2</v>
      </c>
      <c r="L144" s="12" t="n">
        <v>192.58</v>
      </c>
      <c r="M144" s="13" t="n">
        <v>0</v>
      </c>
      <c r="N144" s="12" t="n">
        <v>192.58</v>
      </c>
      <c r="O144" s="12" t="n">
        <v>31.02</v>
      </c>
      <c r="P144" s="8" t="str">
        <f aca="false">TEXT(B144,"mmm-yyyy")</f>
        <v>Jul-2023</v>
      </c>
      <c r="Q144" s="14" t="n">
        <f aca="false">IFERROR(O144/N144,"")</f>
        <v>0.161075916502233</v>
      </c>
      <c r="R144" s="8" t="str">
        <f aca="false">IF(OR(N144&gt;$U$3,N144&lt;$U$2),"Sales Outlier",IF(OR(O144&gt;$U$6,O144&lt;$U$4),"Profit Outlier",""))</f>
        <v/>
      </c>
    </row>
    <row r="145" customFormat="false" ht="15" hidden="false" customHeight="true" outlineLevel="0" collapsed="false">
      <c r="A145" s="8" t="s">
        <v>1303</v>
      </c>
      <c r="B145" s="11" t="n">
        <v>45108</v>
      </c>
      <c r="C145" s="11" t="n">
        <v>45113</v>
      </c>
      <c r="D145" s="8" t="s">
        <v>1550</v>
      </c>
      <c r="E145" s="8" t="s">
        <v>2285</v>
      </c>
      <c r="F145" s="8" t="s">
        <v>61</v>
      </c>
      <c r="G145" s="8" t="s">
        <v>76</v>
      </c>
      <c r="H145" s="8" t="s">
        <v>132</v>
      </c>
      <c r="I145" s="8" t="s">
        <v>56</v>
      </c>
      <c r="J145" s="8" t="s">
        <v>29</v>
      </c>
      <c r="K145" s="8" t="n">
        <v>5</v>
      </c>
      <c r="L145" s="12" t="n">
        <v>675.1</v>
      </c>
      <c r="M145" s="13" t="n">
        <v>0.1</v>
      </c>
      <c r="N145" s="12" t="n">
        <v>3037.95</v>
      </c>
      <c r="O145" s="12" t="n">
        <v>-167.83</v>
      </c>
      <c r="P145" s="8" t="str">
        <f aca="false">TEXT(B145,"mmm-yyyy")</f>
        <v>Jul-2023</v>
      </c>
      <c r="Q145" s="14" t="n">
        <f aca="false">IFERROR(O145/N145,"")</f>
        <v>-0.0552444905281522</v>
      </c>
      <c r="R145" s="8" t="str">
        <f aca="false">IF(OR(N145&gt;$U$3,N145&lt;$U$2),"Sales Outlier",IF(OR(O145&gt;$U$6,O145&lt;$U$4),"Profit Outlier",""))</f>
        <v/>
      </c>
    </row>
    <row r="146" customFormat="false" ht="15" hidden="false" customHeight="true" outlineLevel="0" collapsed="false">
      <c r="A146" s="8" t="s">
        <v>1221</v>
      </c>
      <c r="B146" s="11" t="n">
        <v>45108</v>
      </c>
      <c r="C146" s="11"/>
      <c r="D146" s="8" t="s">
        <v>1255</v>
      </c>
      <c r="E146" s="8" t="s">
        <v>24</v>
      </c>
      <c r="F146" s="8" t="s">
        <v>126</v>
      </c>
      <c r="G146" s="8" t="s">
        <v>82</v>
      </c>
      <c r="H146" s="8" t="s">
        <v>114</v>
      </c>
      <c r="I146" s="8" t="s">
        <v>115</v>
      </c>
      <c r="J146" s="8" t="s">
        <v>47</v>
      </c>
      <c r="K146" s="8" t="n">
        <v>2</v>
      </c>
      <c r="L146" s="12" t="n">
        <v>119.56</v>
      </c>
      <c r="M146" s="13" t="n">
        <v>0.1</v>
      </c>
      <c r="N146" s="12" t="n">
        <v>215.21</v>
      </c>
      <c r="O146" s="12" t="n">
        <v>12.49</v>
      </c>
      <c r="P146" s="8" t="str">
        <f aca="false">TEXT(B146,"mmm-yyyy")</f>
        <v>Jul-2023</v>
      </c>
      <c r="Q146" s="14" t="n">
        <f aca="false">IFERROR(O146/N146,"")</f>
        <v>0.058036336601459</v>
      </c>
      <c r="R146" s="8" t="str">
        <f aca="false">IF(OR(N146&gt;$U$3,N146&lt;$U$2),"Sales Outlier",IF(OR(O146&gt;$U$6,O146&lt;$U$4),"Profit Outlier",""))</f>
        <v/>
      </c>
    </row>
    <row r="147" customFormat="false" ht="15" hidden="false" customHeight="true" outlineLevel="0" collapsed="false">
      <c r="A147" s="8" t="s">
        <v>2101</v>
      </c>
      <c r="B147" s="11" t="n">
        <v>45111</v>
      </c>
      <c r="C147" s="11" t="n">
        <v>45118</v>
      </c>
      <c r="D147" s="8" t="s">
        <v>1700</v>
      </c>
      <c r="E147" s="8" t="s">
        <v>2285</v>
      </c>
      <c r="F147" s="8" t="s">
        <v>61</v>
      </c>
      <c r="G147" s="8" t="s">
        <v>62</v>
      </c>
      <c r="H147" s="8" t="s">
        <v>77</v>
      </c>
      <c r="I147" s="8" t="s">
        <v>78</v>
      </c>
      <c r="J147" s="8" t="s">
        <v>64</v>
      </c>
      <c r="K147" s="8" t="n">
        <v>2</v>
      </c>
      <c r="L147" s="12" t="n">
        <v>176.15</v>
      </c>
      <c r="M147" s="13" t="n">
        <v>0</v>
      </c>
      <c r="N147" s="12" t="n">
        <v>176.15</v>
      </c>
      <c r="O147" s="12" t="n">
        <v>-1.02</v>
      </c>
      <c r="P147" s="8" t="str">
        <f aca="false">TEXT(B147,"mmm-yyyy")</f>
        <v>Jul-2023</v>
      </c>
      <c r="Q147" s="14" t="n">
        <f aca="false">IFERROR(O147/N147,"")</f>
        <v>-0.00579051944365598</v>
      </c>
      <c r="R147" s="8" t="str">
        <f aca="false">IF(OR(N147&gt;$U$3,N147&lt;$U$2),"Sales Outlier",IF(OR(O147&gt;$U$6,O147&lt;$U$4),"Profit Outlier",""))</f>
        <v/>
      </c>
    </row>
    <row r="148" customFormat="false" ht="15" hidden="false" customHeight="true" outlineLevel="0" collapsed="false">
      <c r="A148" s="8" t="s">
        <v>1393</v>
      </c>
      <c r="B148" s="11" t="n">
        <v>45111</v>
      </c>
      <c r="C148" s="11" t="n">
        <v>45114</v>
      </c>
      <c r="D148" s="8" t="s">
        <v>452</v>
      </c>
      <c r="E148" s="8" t="s">
        <v>2285</v>
      </c>
      <c r="F148" s="8" t="s">
        <v>126</v>
      </c>
      <c r="G148" s="8" t="s">
        <v>89</v>
      </c>
      <c r="H148" s="8" t="s">
        <v>45</v>
      </c>
      <c r="I148" s="8" t="s">
        <v>138</v>
      </c>
      <c r="J148" s="8" t="s">
        <v>29</v>
      </c>
      <c r="K148" s="8" t="n">
        <v>4</v>
      </c>
      <c r="L148" s="12" t="n">
        <v>583.66</v>
      </c>
      <c r="M148" s="13" t="n">
        <v>0</v>
      </c>
      <c r="N148" s="12" t="n">
        <v>2334.64</v>
      </c>
      <c r="O148" s="12" t="n">
        <v>141.73</v>
      </c>
      <c r="P148" s="8" t="str">
        <f aca="false">TEXT(B148,"mmm-yyyy")</f>
        <v>Jul-2023</v>
      </c>
      <c r="Q148" s="14" t="n">
        <f aca="false">IFERROR(O148/N148,"")</f>
        <v>0.0607074324092794</v>
      </c>
      <c r="R148" s="8" t="str">
        <f aca="false">IF(OR(N148&gt;$U$3,N148&lt;$U$2),"Sales Outlier",IF(OR(O148&gt;$U$6,O148&lt;$U$4),"Profit Outlier",""))</f>
        <v/>
      </c>
    </row>
    <row r="149" customFormat="false" ht="15" hidden="false" customHeight="true" outlineLevel="0" collapsed="false">
      <c r="A149" s="8" t="s">
        <v>1617</v>
      </c>
      <c r="B149" s="11" t="n">
        <v>45113</v>
      </c>
      <c r="C149" s="11" t="n">
        <v>45266</v>
      </c>
      <c r="D149" s="8" t="s">
        <v>585</v>
      </c>
      <c r="E149" s="8" t="s">
        <v>34</v>
      </c>
      <c r="F149" s="8" t="s">
        <v>154</v>
      </c>
      <c r="G149" s="8" t="s">
        <v>182</v>
      </c>
      <c r="H149" s="8" t="s">
        <v>132</v>
      </c>
      <c r="I149" s="8" t="s">
        <v>56</v>
      </c>
      <c r="J149" s="8" t="s">
        <v>39</v>
      </c>
      <c r="K149" s="8" t="n">
        <v>1</v>
      </c>
      <c r="L149" s="12" t="n">
        <v>216.64</v>
      </c>
      <c r="M149" s="13" t="n">
        <v>0</v>
      </c>
      <c r="N149" s="12" t="n">
        <v>216.64</v>
      </c>
      <c r="O149" s="12" t="n">
        <v>57.01</v>
      </c>
      <c r="P149" s="8" t="str">
        <f aca="false">TEXT(B149,"mmm-yyyy")</f>
        <v>Jul-2023</v>
      </c>
      <c r="Q149" s="14" t="n">
        <f aca="false">IFERROR(O149/N149,"")</f>
        <v>0.263155465288035</v>
      </c>
      <c r="R149" s="8" t="str">
        <f aca="false">IF(OR(N149&gt;$U$3,N149&lt;$U$2),"Sales Outlier",IF(OR(O149&gt;$U$6,O149&lt;$U$4),"Profit Outlier",""))</f>
        <v/>
      </c>
    </row>
    <row r="150" customFormat="false" ht="15" hidden="false" customHeight="true" outlineLevel="0" collapsed="false">
      <c r="A150" s="8" t="s">
        <v>1965</v>
      </c>
      <c r="B150" s="11" t="n">
        <v>45114</v>
      </c>
      <c r="C150" s="11" t="n">
        <v>45120</v>
      </c>
      <c r="D150" s="8" t="s">
        <v>857</v>
      </c>
      <c r="E150" s="8" t="s">
        <v>24</v>
      </c>
      <c r="F150" s="8" t="s">
        <v>126</v>
      </c>
      <c r="G150" s="8" t="s">
        <v>26</v>
      </c>
      <c r="H150" s="8" t="s">
        <v>37</v>
      </c>
      <c r="I150" s="8" t="s">
        <v>38</v>
      </c>
      <c r="J150" s="8" t="s">
        <v>39</v>
      </c>
      <c r="K150" s="8" t="n">
        <v>2</v>
      </c>
      <c r="L150" s="12" t="n">
        <v>1073.71</v>
      </c>
      <c r="M150" s="13" t="n">
        <v>0.1</v>
      </c>
      <c r="N150" s="12" t="n">
        <v>1932.68</v>
      </c>
      <c r="O150" s="12" t="n">
        <v>-13.43</v>
      </c>
      <c r="P150" s="8" t="str">
        <f aca="false">TEXT(B150,"mmm-yyyy")</f>
        <v>Jul-2023</v>
      </c>
      <c r="Q150" s="14" t="n">
        <f aca="false">IFERROR(O150/N150,"")</f>
        <v>-0.00694889997309436</v>
      </c>
      <c r="R150" s="8" t="str">
        <f aca="false">IF(OR(N150&gt;$U$3,N150&lt;$U$2),"Sales Outlier",IF(OR(O150&gt;$U$6,O150&lt;$U$4),"Profit Outlier",""))</f>
        <v/>
      </c>
    </row>
    <row r="151" customFormat="false" ht="15" hidden="false" customHeight="true" outlineLevel="0" collapsed="false">
      <c r="A151" s="8" t="s">
        <v>178</v>
      </c>
      <c r="B151" s="11" t="n">
        <v>45114</v>
      </c>
      <c r="C151" s="11" t="n">
        <v>45120</v>
      </c>
      <c r="D151" s="8" t="s">
        <v>181</v>
      </c>
      <c r="E151" s="8" t="s">
        <v>52</v>
      </c>
      <c r="F151" s="8" t="s">
        <v>154</v>
      </c>
      <c r="G151" s="8" t="s">
        <v>182</v>
      </c>
      <c r="H151" s="8" t="s">
        <v>45</v>
      </c>
      <c r="I151" s="8" t="s">
        <v>46</v>
      </c>
      <c r="J151" s="8" t="s">
        <v>39</v>
      </c>
      <c r="K151" s="8" t="n">
        <v>2</v>
      </c>
      <c r="L151" s="12" t="n">
        <v>464.67</v>
      </c>
      <c r="M151" s="13" t="n">
        <v>0</v>
      </c>
      <c r="N151" s="12" t="n">
        <v>464.67</v>
      </c>
      <c r="O151" s="12" t="n">
        <v>65.97</v>
      </c>
      <c r="P151" s="8" t="str">
        <f aca="false">TEXT(B151,"mmm-yyyy")</f>
        <v>Jul-2023</v>
      </c>
      <c r="Q151" s="14" t="n">
        <f aca="false">IFERROR(O151/N151,"")</f>
        <v>0.141971721867132</v>
      </c>
      <c r="R151" s="8" t="str">
        <f aca="false">IF(OR(N151&gt;$U$3,N151&lt;$U$2),"Sales Outlier",IF(OR(O151&gt;$U$6,O151&lt;$U$4),"Profit Outlier",""))</f>
        <v/>
      </c>
    </row>
    <row r="152" customFormat="false" ht="15" hidden="false" customHeight="true" outlineLevel="0" collapsed="false">
      <c r="A152" s="8" t="s">
        <v>1701</v>
      </c>
      <c r="B152" s="11" t="n">
        <v>45117</v>
      </c>
      <c r="C152" s="11" t="n">
        <v>45121</v>
      </c>
      <c r="D152" s="8" t="s">
        <v>1704</v>
      </c>
      <c r="E152" s="8" t="s">
        <v>2285</v>
      </c>
      <c r="F152" s="8" t="s">
        <v>126</v>
      </c>
      <c r="G152" s="8" t="s">
        <v>82</v>
      </c>
      <c r="H152" s="8" t="s">
        <v>37</v>
      </c>
      <c r="I152" s="8" t="s">
        <v>38</v>
      </c>
      <c r="J152" s="8" t="s">
        <v>47</v>
      </c>
      <c r="K152" s="8" t="n">
        <v>2</v>
      </c>
      <c r="L152" s="12" t="n">
        <v>1152.82</v>
      </c>
      <c r="M152" s="13" t="n">
        <v>0</v>
      </c>
      <c r="N152" s="12" t="n">
        <v>2305.64</v>
      </c>
      <c r="O152" s="12" t="n">
        <v>803.2</v>
      </c>
      <c r="P152" s="8" t="str">
        <f aca="false">TEXT(B152,"mmm-yyyy")</f>
        <v>Jul-2023</v>
      </c>
      <c r="Q152" s="14" t="n">
        <f aca="false">IFERROR(O152/N152,"")</f>
        <v>0.348363144289655</v>
      </c>
      <c r="R152" s="8" t="str">
        <f aca="false">IF(OR(N152&gt;$U$3,N152&lt;$U$2),"Sales Outlier",IF(OR(O152&gt;$U$6,O152&lt;$U$4),"Profit Outlier",""))</f>
        <v/>
      </c>
    </row>
    <row r="153" customFormat="false" ht="15" hidden="false" customHeight="true" outlineLevel="0" collapsed="false">
      <c r="A153" s="8" t="s">
        <v>939</v>
      </c>
      <c r="B153" s="11" t="n">
        <v>45118</v>
      </c>
      <c r="C153" s="11" t="n">
        <v>45124</v>
      </c>
      <c r="D153" s="8" t="s">
        <v>2293</v>
      </c>
      <c r="E153" s="8" t="s">
        <v>34</v>
      </c>
      <c r="F153" s="8" t="s">
        <v>126</v>
      </c>
      <c r="G153" s="8" t="s">
        <v>26</v>
      </c>
      <c r="H153" s="8" t="s">
        <v>132</v>
      </c>
      <c r="I153" s="8" t="s">
        <v>63</v>
      </c>
      <c r="J153" s="8" t="s">
        <v>39</v>
      </c>
      <c r="K153" s="8" t="n">
        <v>4</v>
      </c>
      <c r="L153" s="12" t="n">
        <v>292.47</v>
      </c>
      <c r="M153" s="13" t="n">
        <v>0.15</v>
      </c>
      <c r="N153" s="12" t="n">
        <v>994.4</v>
      </c>
      <c r="O153" s="12" t="n">
        <v>291.36</v>
      </c>
      <c r="P153" s="8" t="str">
        <f aca="false">TEXT(B153,"mmm-yyyy")</f>
        <v>Jul-2023</v>
      </c>
      <c r="Q153" s="14" t="n">
        <f aca="false">IFERROR(O153/N153,"")</f>
        <v>0.293000804505229</v>
      </c>
      <c r="R153" s="8" t="str">
        <f aca="false">IF(OR(N153&gt;$U$3,N153&lt;$U$2),"Sales Outlier",IF(OR(O153&gt;$U$6,O153&lt;$U$4),"Profit Outlier",""))</f>
        <v/>
      </c>
    </row>
    <row r="154" customFormat="false" ht="15" hidden="false" customHeight="true" outlineLevel="0" collapsed="false">
      <c r="A154" s="8" t="s">
        <v>1767</v>
      </c>
      <c r="B154" s="11" t="n">
        <v>45118</v>
      </c>
      <c r="C154" s="11" t="n">
        <v>45123</v>
      </c>
      <c r="D154" s="8" t="s">
        <v>1769</v>
      </c>
      <c r="E154" s="8" t="s">
        <v>34</v>
      </c>
      <c r="F154" s="8" t="s">
        <v>61</v>
      </c>
      <c r="G154" s="8" t="s">
        <v>62</v>
      </c>
      <c r="H154" s="8" t="s">
        <v>77</v>
      </c>
      <c r="I154" s="8" t="s">
        <v>78</v>
      </c>
      <c r="J154" s="8" t="s">
        <v>47</v>
      </c>
      <c r="K154" s="8" t="n">
        <v>2</v>
      </c>
      <c r="L154" s="12" t="n">
        <v>687.32</v>
      </c>
      <c r="M154" s="13" t="n">
        <v>0.15</v>
      </c>
      <c r="N154" s="12" t="n">
        <v>1168.44</v>
      </c>
      <c r="O154" s="12" t="n">
        <v>100.77</v>
      </c>
      <c r="P154" s="8" t="str">
        <f aca="false">TEXT(B154,"mmm-yyyy")</f>
        <v>Jul-2023</v>
      </c>
      <c r="Q154" s="14" t="n">
        <f aca="false">IFERROR(O154/N154,"")</f>
        <v>0.0862431960562802</v>
      </c>
      <c r="R154" s="8" t="str">
        <f aca="false">IF(OR(N154&gt;$U$3,N154&lt;$U$2),"Sales Outlier",IF(OR(O154&gt;$U$6,O154&lt;$U$4),"Profit Outlier",""))</f>
        <v/>
      </c>
    </row>
    <row r="155" customFormat="false" ht="15" hidden="false" customHeight="true" outlineLevel="0" collapsed="false">
      <c r="A155" s="8" t="s">
        <v>1408</v>
      </c>
      <c r="B155" s="11" t="n">
        <v>45118</v>
      </c>
      <c r="C155" s="11" t="n">
        <v>45121</v>
      </c>
      <c r="D155" s="8" t="s">
        <v>2294</v>
      </c>
      <c r="E155" s="8" t="s">
        <v>2285</v>
      </c>
      <c r="F155" s="8" t="s">
        <v>154</v>
      </c>
      <c r="G155" s="8" t="s">
        <v>182</v>
      </c>
      <c r="H155" s="8" t="s">
        <v>77</v>
      </c>
      <c r="I155" s="8" t="s">
        <v>425</v>
      </c>
      <c r="J155" s="8" t="s">
        <v>47</v>
      </c>
      <c r="K155" s="8" t="n">
        <v>4</v>
      </c>
      <c r="L155" s="12" t="n">
        <v>407.32</v>
      </c>
      <c r="M155" s="13" t="n">
        <v>0</v>
      </c>
      <c r="N155" s="12" t="n">
        <v>1629.28</v>
      </c>
      <c r="O155" s="12" t="n">
        <v>259.36</v>
      </c>
      <c r="P155" s="8" t="str">
        <f aca="false">TEXT(B155,"mmm-yyyy")</f>
        <v>Jul-2023</v>
      </c>
      <c r="Q155" s="14" t="n">
        <f aca="false">IFERROR(O155/N155,"")</f>
        <v>0.159186880094275</v>
      </c>
      <c r="R155" s="8" t="str">
        <f aca="false">IF(OR(N155&gt;$U$3,N155&lt;$U$2),"Sales Outlier",IF(OR(O155&gt;$U$6,O155&lt;$U$4),"Profit Outlier",""))</f>
        <v/>
      </c>
    </row>
    <row r="156" customFormat="false" ht="15" hidden="false" customHeight="true" outlineLevel="0" collapsed="false">
      <c r="A156" s="8" t="s">
        <v>260</v>
      </c>
      <c r="B156" s="11" t="n">
        <v>45120</v>
      </c>
      <c r="C156" s="11" t="n">
        <v>45127</v>
      </c>
      <c r="D156" s="8" t="s">
        <v>263</v>
      </c>
      <c r="E156" s="8" t="s">
        <v>34</v>
      </c>
      <c r="F156" s="8" t="s">
        <v>154</v>
      </c>
      <c r="G156" s="8" t="s">
        <v>182</v>
      </c>
      <c r="H156" s="8" t="s">
        <v>45</v>
      </c>
      <c r="I156" s="8" t="s">
        <v>46</v>
      </c>
      <c r="J156" s="8" t="s">
        <v>39</v>
      </c>
      <c r="K156" s="8" t="n">
        <v>3</v>
      </c>
      <c r="L156" s="12" t="n">
        <v>1182.03</v>
      </c>
      <c r="M156" s="13" t="n">
        <v>0.15</v>
      </c>
      <c r="N156" s="12" t="n">
        <v>3014.18</v>
      </c>
      <c r="O156" s="12" t="n">
        <v>365.44</v>
      </c>
      <c r="P156" s="8" t="str">
        <f aca="false">TEXT(B156,"mmm-yyyy")</f>
        <v>Jul-2023</v>
      </c>
      <c r="Q156" s="14" t="n">
        <f aca="false">IFERROR(O156/N156,"")</f>
        <v>0.121240270985807</v>
      </c>
      <c r="R156" s="8" t="str">
        <f aca="false">IF(OR(N156&gt;$U$3,N156&lt;$U$2),"Sales Outlier",IF(OR(O156&gt;$U$6,O156&lt;$U$4),"Profit Outlier",""))</f>
        <v/>
      </c>
    </row>
    <row r="157" customFormat="false" ht="15" hidden="false" customHeight="true" outlineLevel="0" collapsed="false">
      <c r="A157" s="8" t="s">
        <v>392</v>
      </c>
      <c r="B157" s="11" t="n">
        <v>45122</v>
      </c>
      <c r="C157" s="11" t="n">
        <v>45125</v>
      </c>
      <c r="D157" s="8" t="s">
        <v>395</v>
      </c>
      <c r="E157" s="8" t="s">
        <v>34</v>
      </c>
      <c r="F157" s="8" t="s">
        <v>61</v>
      </c>
      <c r="G157" s="8" t="s">
        <v>36</v>
      </c>
      <c r="H157" s="8" t="s">
        <v>114</v>
      </c>
      <c r="I157" s="8" t="s">
        <v>109</v>
      </c>
      <c r="J157" s="8" t="s">
        <v>64</v>
      </c>
      <c r="K157" s="8" t="n">
        <v>1</v>
      </c>
      <c r="L157" s="12" t="n">
        <v>1161.18</v>
      </c>
      <c r="M157" s="13" t="n">
        <v>0</v>
      </c>
      <c r="N157" s="12" t="n">
        <v>1161.18</v>
      </c>
      <c r="O157" s="12" t="n">
        <v>134.57</v>
      </c>
      <c r="P157" s="8" t="str">
        <f aca="false">TEXT(B157,"mmm-yyyy")</f>
        <v>Jul-2023</v>
      </c>
      <c r="Q157" s="14" t="n">
        <f aca="false">IFERROR(O157/N157,"")</f>
        <v>0.115890731841747</v>
      </c>
      <c r="R157" s="8" t="str">
        <f aca="false">IF(OR(N157&gt;$U$3,N157&lt;$U$2),"Sales Outlier",IF(OR(O157&gt;$U$6,O157&lt;$U$4),"Profit Outlier",""))</f>
        <v/>
      </c>
    </row>
    <row r="158" customFormat="false" ht="15" hidden="false" customHeight="true" outlineLevel="0" collapsed="false">
      <c r="A158" s="8" t="s">
        <v>669</v>
      </c>
      <c r="B158" s="11" t="n">
        <v>45122</v>
      </c>
      <c r="C158" s="11" t="n">
        <v>45124</v>
      </c>
      <c r="D158" s="8" t="s">
        <v>2295</v>
      </c>
      <c r="E158" s="8" t="s">
        <v>52</v>
      </c>
      <c r="F158" s="8" t="s">
        <v>154</v>
      </c>
      <c r="G158" s="8" t="s">
        <v>102</v>
      </c>
      <c r="H158" s="8" t="s">
        <v>45</v>
      </c>
      <c r="I158" s="8" t="s">
        <v>28</v>
      </c>
      <c r="J158" s="8" t="s">
        <v>47</v>
      </c>
      <c r="K158" s="8" t="n">
        <v>1</v>
      </c>
      <c r="L158" s="12" t="n">
        <v>705.94</v>
      </c>
      <c r="M158" s="13" t="n">
        <v>0</v>
      </c>
      <c r="N158" s="12" t="n">
        <v>705.94</v>
      </c>
      <c r="O158" s="12" t="n">
        <v>159.83</v>
      </c>
      <c r="P158" s="8" t="str">
        <f aca="false">TEXT(B158,"mmm-yyyy")</f>
        <v>Jul-2023</v>
      </c>
      <c r="Q158" s="14" t="n">
        <f aca="false">IFERROR(O158/N158,"")</f>
        <v>0.226407343400289</v>
      </c>
      <c r="R158" s="8" t="str">
        <f aca="false">IF(OR(N158&gt;$U$3,N158&lt;$U$2),"Sales Outlier",IF(OR(O158&gt;$U$6,O158&lt;$U$4),"Profit Outlier",""))</f>
        <v/>
      </c>
    </row>
    <row r="159" customFormat="false" ht="15" hidden="false" customHeight="true" outlineLevel="0" collapsed="false">
      <c r="A159" s="8" t="s">
        <v>1390</v>
      </c>
      <c r="B159" s="11" t="n">
        <v>45123</v>
      </c>
      <c r="C159" s="11" t="n">
        <v>45129</v>
      </c>
      <c r="D159" s="8" t="s">
        <v>1168</v>
      </c>
      <c r="E159" s="8" t="s">
        <v>24</v>
      </c>
      <c r="F159" s="8" t="s">
        <v>147</v>
      </c>
      <c r="G159" s="8" t="s">
        <v>326</v>
      </c>
      <c r="H159" s="8" t="s">
        <v>132</v>
      </c>
      <c r="I159" s="8" t="s">
        <v>104</v>
      </c>
      <c r="J159" s="8" t="s">
        <v>39</v>
      </c>
      <c r="K159" s="8" t="n">
        <v>1</v>
      </c>
      <c r="L159" s="12" t="n">
        <v>1187.2</v>
      </c>
      <c r="M159" s="13" t="n">
        <v>0.1</v>
      </c>
      <c r="N159" s="12" t="n">
        <v>1068.48</v>
      </c>
      <c r="O159" s="12" t="n">
        <v>-26.53</v>
      </c>
      <c r="P159" s="8" t="str">
        <f aca="false">TEXT(B159,"mmm-yyyy")</f>
        <v>Jul-2023</v>
      </c>
      <c r="Q159" s="14" t="n">
        <f aca="false">IFERROR(O159/N159,"")</f>
        <v>-0.0248296645702306</v>
      </c>
      <c r="R159" s="8" t="str">
        <f aca="false">IF(OR(N159&gt;$U$3,N159&lt;$U$2),"Sales Outlier",IF(OR(O159&gt;$U$6,O159&lt;$U$4),"Profit Outlier",""))</f>
        <v/>
      </c>
    </row>
    <row r="160" customFormat="false" ht="15" hidden="false" customHeight="true" outlineLevel="0" collapsed="false">
      <c r="A160" s="8" t="s">
        <v>1971</v>
      </c>
      <c r="B160" s="11" t="n">
        <v>45125</v>
      </c>
      <c r="C160" s="11" t="n">
        <v>45128</v>
      </c>
      <c r="D160" s="8" t="s">
        <v>2296</v>
      </c>
      <c r="E160" s="8" t="s">
        <v>52</v>
      </c>
      <c r="F160" s="8" t="s">
        <v>126</v>
      </c>
      <c r="G160" s="8" t="s">
        <v>82</v>
      </c>
      <c r="H160" s="8" t="s">
        <v>37</v>
      </c>
      <c r="I160" s="8" t="s">
        <v>84</v>
      </c>
      <c r="J160" s="8" t="s">
        <v>64</v>
      </c>
      <c r="K160" s="8" t="n">
        <v>3</v>
      </c>
      <c r="L160" s="12" t="n">
        <v>1176.71</v>
      </c>
      <c r="M160" s="13" t="n">
        <v>0</v>
      </c>
      <c r="N160" s="12" t="n">
        <v>3530.13</v>
      </c>
      <c r="O160" s="12" t="n">
        <v>993.15</v>
      </c>
      <c r="P160" s="8" t="str">
        <f aca="false">TEXT(B160,"mmm-yyyy")</f>
        <v>Jul-2023</v>
      </c>
      <c r="Q160" s="14" t="n">
        <f aca="false">IFERROR(O160/N160,"")</f>
        <v>0.281335248276976</v>
      </c>
      <c r="R160" s="8" t="str">
        <f aca="false">IF(OR(N160&gt;$U$3,N160&lt;$U$2),"Sales Outlier",IF(OR(O160&gt;$U$6,O160&lt;$U$4),"Profit Outlier",""))</f>
        <v/>
      </c>
    </row>
    <row r="161" customFormat="false" ht="15" hidden="false" customHeight="true" outlineLevel="0" collapsed="false">
      <c r="A161" s="8" t="s">
        <v>1607</v>
      </c>
      <c r="B161" s="11" t="n">
        <v>45127</v>
      </c>
      <c r="C161" s="11" t="n">
        <v>45133</v>
      </c>
      <c r="D161" s="8" t="s">
        <v>1610</v>
      </c>
      <c r="E161" s="8" t="s">
        <v>34</v>
      </c>
      <c r="F161" s="8" t="s">
        <v>61</v>
      </c>
      <c r="G161" s="8" t="s">
        <v>76</v>
      </c>
      <c r="H161" s="8" t="s">
        <v>45</v>
      </c>
      <c r="I161" s="8" t="s">
        <v>138</v>
      </c>
      <c r="J161" s="8" t="s">
        <v>39</v>
      </c>
      <c r="K161" s="8" t="n">
        <v>2</v>
      </c>
      <c r="L161" s="12" t="n">
        <v>445.09</v>
      </c>
      <c r="M161" s="13" t="n">
        <v>0.15</v>
      </c>
      <c r="N161" s="12" t="n">
        <v>378.33</v>
      </c>
      <c r="O161" s="12" t="n">
        <v>34.84</v>
      </c>
      <c r="P161" s="8" t="str">
        <f aca="false">TEXT(B161,"mmm-yyyy")</f>
        <v>Jul-2023</v>
      </c>
      <c r="Q161" s="14" t="n">
        <f aca="false">IFERROR(O161/N161,"")</f>
        <v>0.0920889170829699</v>
      </c>
      <c r="R161" s="8" t="str">
        <f aca="false">IF(OR(N161&gt;$U$3,N161&lt;$U$2),"Sales Outlier",IF(OR(O161&gt;$U$6,O161&lt;$U$4),"Profit Outlier",""))</f>
        <v/>
      </c>
    </row>
    <row r="162" customFormat="false" ht="15" hidden="false" customHeight="true" outlineLevel="0" collapsed="false">
      <c r="A162" s="8" t="s">
        <v>582</v>
      </c>
      <c r="B162" s="11" t="n">
        <v>45129</v>
      </c>
      <c r="C162" s="11" t="n">
        <v>45131</v>
      </c>
      <c r="D162" s="8" t="s">
        <v>585</v>
      </c>
      <c r="E162" s="8" t="s">
        <v>2285</v>
      </c>
      <c r="F162" s="8" t="s">
        <v>61</v>
      </c>
      <c r="G162" s="8" t="s">
        <v>62</v>
      </c>
      <c r="H162" s="8" t="s">
        <v>37</v>
      </c>
      <c r="I162" s="8" t="s">
        <v>527</v>
      </c>
      <c r="J162" s="8" t="s">
        <v>29</v>
      </c>
      <c r="K162" s="8" t="n">
        <v>2</v>
      </c>
      <c r="L162" s="12" t="n">
        <v>127.85</v>
      </c>
      <c r="M162" s="13" t="n">
        <v>0.1</v>
      </c>
      <c r="N162" s="12" t="n">
        <v>230.13</v>
      </c>
      <c r="O162" s="12" t="n">
        <v>55.12</v>
      </c>
      <c r="P162" s="8" t="str">
        <f aca="false">TEXT(B162,"mmm-yyyy")</f>
        <v>Jul-2023</v>
      </c>
      <c r="Q162" s="14" t="n">
        <f aca="false">IFERROR(O162/N162,"")</f>
        <v>0.239516794855082</v>
      </c>
      <c r="R162" s="8" t="str">
        <f aca="false">IF(OR(N162&gt;$U$3,N162&lt;$U$2),"Sales Outlier",IF(OR(O162&gt;$U$6,O162&lt;$U$4),"Profit Outlier",""))</f>
        <v/>
      </c>
    </row>
    <row r="163" customFormat="false" ht="15" hidden="false" customHeight="true" outlineLevel="0" collapsed="false">
      <c r="A163" s="8" t="s">
        <v>608</v>
      </c>
      <c r="B163" s="11" t="n">
        <v>45129</v>
      </c>
      <c r="C163" s="11" t="n">
        <v>45133</v>
      </c>
      <c r="D163" s="8" t="s">
        <v>611</v>
      </c>
      <c r="E163" s="8" t="s">
        <v>34</v>
      </c>
      <c r="F163" s="8" t="s">
        <v>154</v>
      </c>
      <c r="G163" s="8" t="s">
        <v>182</v>
      </c>
      <c r="H163" s="8" t="s">
        <v>114</v>
      </c>
      <c r="I163" s="8" t="s">
        <v>297</v>
      </c>
      <c r="J163" s="8" t="s">
        <v>64</v>
      </c>
      <c r="K163" s="8" t="n">
        <v>5</v>
      </c>
      <c r="L163" s="12" t="n">
        <v>39.88</v>
      </c>
      <c r="M163" s="13" t="n">
        <v>0.2</v>
      </c>
      <c r="N163" s="12" t="n">
        <v>159.52</v>
      </c>
      <c r="O163" s="12" t="n">
        <v>-8.65</v>
      </c>
      <c r="P163" s="8" t="str">
        <f aca="false">TEXT(B163,"mmm-yyyy")</f>
        <v>Jul-2023</v>
      </c>
      <c r="Q163" s="14" t="n">
        <f aca="false">IFERROR(O163/N163,"")</f>
        <v>-0.0542251755265797</v>
      </c>
      <c r="R163" s="8" t="str">
        <f aca="false">IF(OR(N163&gt;$U$3,N163&lt;$U$2),"Sales Outlier",IF(OR(O163&gt;$U$6,O163&lt;$U$4),"Profit Outlier",""))</f>
        <v/>
      </c>
    </row>
    <row r="164" customFormat="false" ht="15" hidden="false" customHeight="true" outlineLevel="0" collapsed="false">
      <c r="A164" s="8" t="s">
        <v>1434</v>
      </c>
      <c r="B164" s="11" t="n">
        <v>45131</v>
      </c>
      <c r="C164" s="11" t="n">
        <v>45136</v>
      </c>
      <c r="D164" s="8" t="s">
        <v>2093</v>
      </c>
      <c r="E164" s="8" t="s">
        <v>24</v>
      </c>
      <c r="F164" s="8" t="s">
        <v>126</v>
      </c>
      <c r="G164" s="8" t="s">
        <v>26</v>
      </c>
      <c r="H164" s="8" t="s">
        <v>37</v>
      </c>
      <c r="I164" s="8" t="s">
        <v>404</v>
      </c>
      <c r="J164" s="8" t="s">
        <v>47</v>
      </c>
      <c r="K164" s="8" t="n">
        <v>4</v>
      </c>
      <c r="L164" s="12" t="n">
        <v>141.1</v>
      </c>
      <c r="M164" s="13" t="n">
        <v>0.2</v>
      </c>
      <c r="N164" s="12" t="n">
        <v>451.52</v>
      </c>
      <c r="O164" s="12" t="n">
        <v>116.92</v>
      </c>
      <c r="P164" s="8" t="str">
        <f aca="false">TEXT(B164,"mmm-yyyy")</f>
        <v>Jul-2023</v>
      </c>
      <c r="Q164" s="14" t="n">
        <f aca="false">IFERROR(O164/N164,"")</f>
        <v>0.258947554925585</v>
      </c>
      <c r="R164" s="8" t="str">
        <f aca="false">IF(OR(N164&gt;$U$3,N164&lt;$U$2),"Sales Outlier",IF(OR(O164&gt;$U$6,O164&lt;$U$4),"Profit Outlier",""))</f>
        <v/>
      </c>
    </row>
    <row r="165" customFormat="false" ht="15" hidden="false" customHeight="true" outlineLevel="0" collapsed="false">
      <c r="A165" s="8" t="s">
        <v>1523</v>
      </c>
      <c r="B165" s="11" t="n">
        <v>45131</v>
      </c>
      <c r="C165" s="11" t="n">
        <v>45136</v>
      </c>
      <c r="D165" s="8" t="s">
        <v>2282</v>
      </c>
      <c r="E165" s="8" t="s">
        <v>24</v>
      </c>
      <c r="F165" s="8" t="s">
        <v>61</v>
      </c>
      <c r="G165" s="8" t="s">
        <v>36</v>
      </c>
      <c r="H165" s="8" t="s">
        <v>77</v>
      </c>
      <c r="I165" s="8" t="s">
        <v>71</v>
      </c>
      <c r="J165" s="8" t="s">
        <v>47</v>
      </c>
      <c r="K165" s="8" t="n">
        <v>5</v>
      </c>
      <c r="L165" s="12" t="n">
        <v>662.29</v>
      </c>
      <c r="M165" s="13" t="n">
        <v>0</v>
      </c>
      <c r="N165" s="12" t="n">
        <v>3311.45</v>
      </c>
      <c r="O165" s="12" t="n">
        <v>401.21</v>
      </c>
      <c r="P165" s="8" t="str">
        <f aca="false">TEXT(B165,"mmm-yyyy")</f>
        <v>Jul-2023</v>
      </c>
      <c r="Q165" s="14" t="n">
        <f aca="false">IFERROR(O165/N165,"")</f>
        <v>0.121158404928355</v>
      </c>
      <c r="R165" s="8" t="str">
        <f aca="false">IF(OR(N165&gt;$U$3,N165&lt;$U$2),"Sales Outlier",IF(OR(O165&gt;$U$6,O165&lt;$U$4),"Profit Outlier",""))</f>
        <v/>
      </c>
    </row>
    <row r="166" customFormat="false" ht="15" hidden="false" customHeight="true" outlineLevel="0" collapsed="false">
      <c r="A166" s="8" t="s">
        <v>289</v>
      </c>
      <c r="B166" s="11" t="n">
        <v>45131</v>
      </c>
      <c r="C166" s="11" t="n">
        <v>45138</v>
      </c>
      <c r="D166" s="8" t="s">
        <v>292</v>
      </c>
      <c r="E166" s="8" t="s">
        <v>24</v>
      </c>
      <c r="F166" s="8" t="s">
        <v>147</v>
      </c>
      <c r="G166" s="8" t="s">
        <v>54</v>
      </c>
      <c r="H166" s="8" t="s">
        <v>37</v>
      </c>
      <c r="I166" s="8" t="s">
        <v>143</v>
      </c>
      <c r="J166" s="8" t="s">
        <v>29</v>
      </c>
      <c r="K166" s="8" t="n">
        <v>1</v>
      </c>
      <c r="L166" s="12" t="n">
        <v>599.8</v>
      </c>
      <c r="M166" s="13" t="n">
        <v>0.2</v>
      </c>
      <c r="N166" s="12" t="n">
        <v>479.84</v>
      </c>
      <c r="O166" s="12" t="n">
        <v>70.37</v>
      </c>
      <c r="P166" s="8" t="str">
        <f aca="false">TEXT(B166,"mmm-yyyy")</f>
        <v>Jul-2023</v>
      </c>
      <c r="Q166" s="14" t="n">
        <f aca="false">IFERROR(O166/N166,"")</f>
        <v>0.146653051017006</v>
      </c>
      <c r="R166" s="8" t="str">
        <f aca="false">IF(OR(N166&gt;$U$3,N166&lt;$U$2),"Sales Outlier",IF(OR(O166&gt;$U$6,O166&lt;$U$4),"Profit Outlier",""))</f>
        <v/>
      </c>
    </row>
    <row r="167" customFormat="false" ht="15" hidden="false" customHeight="true" outlineLevel="0" collapsed="false">
      <c r="A167" s="8" t="s">
        <v>1601</v>
      </c>
      <c r="B167" s="11" t="n">
        <v>45131</v>
      </c>
      <c r="C167" s="11" t="n">
        <v>45138</v>
      </c>
      <c r="D167" s="8" t="s">
        <v>271</v>
      </c>
      <c r="E167" s="8" t="s">
        <v>52</v>
      </c>
      <c r="F167" s="8" t="s">
        <v>126</v>
      </c>
      <c r="G167" s="8" t="s">
        <v>89</v>
      </c>
      <c r="H167" s="8" t="s">
        <v>45</v>
      </c>
      <c r="I167" s="8" t="s">
        <v>160</v>
      </c>
      <c r="J167" s="8" t="s">
        <v>39</v>
      </c>
      <c r="K167" s="8" t="n">
        <v>5</v>
      </c>
      <c r="L167" s="12" t="n">
        <v>1159.69</v>
      </c>
      <c r="M167" s="13" t="n">
        <v>0</v>
      </c>
      <c r="N167" s="12" t="n">
        <v>5798.45</v>
      </c>
      <c r="O167" s="12" t="n">
        <v>993.15</v>
      </c>
      <c r="P167" s="8" t="str">
        <f aca="false">TEXT(B167,"mmm-yyyy")</f>
        <v>Jul-2023</v>
      </c>
      <c r="Q167" s="14" t="n">
        <f aca="false">IFERROR(O167/N167,"")</f>
        <v>0.171278531331649</v>
      </c>
      <c r="R167" s="8" t="str">
        <f aca="false">IF(OR(N167&gt;$U$3,N167&lt;$U$2),"Sales Outlier",IF(OR(O167&gt;$U$6,O167&lt;$U$4),"Profit Outlier",""))</f>
        <v/>
      </c>
    </row>
    <row r="168" customFormat="false" ht="15" hidden="false" customHeight="true" outlineLevel="0" collapsed="false">
      <c r="A168" s="8" t="s">
        <v>1831</v>
      </c>
      <c r="B168" s="11" t="n">
        <v>45132</v>
      </c>
      <c r="C168" s="11" t="n">
        <v>45138</v>
      </c>
      <c r="D168" s="8" t="s">
        <v>1834</v>
      </c>
      <c r="E168" s="8" t="s">
        <v>2285</v>
      </c>
      <c r="F168" s="8" t="s">
        <v>154</v>
      </c>
      <c r="G168" s="8" t="s">
        <v>182</v>
      </c>
      <c r="H168" s="8" t="s">
        <v>45</v>
      </c>
      <c r="I168" s="8" t="s">
        <v>160</v>
      </c>
      <c r="J168" s="8" t="s">
        <v>64</v>
      </c>
      <c r="K168" s="8" t="n">
        <v>1</v>
      </c>
      <c r="L168" s="12" t="n">
        <v>509.36</v>
      </c>
      <c r="M168" s="13" t="n">
        <v>0.05</v>
      </c>
      <c r="N168" s="12" t="n">
        <v>483.89</v>
      </c>
      <c r="O168" s="12" t="n">
        <v>102.38</v>
      </c>
      <c r="P168" s="8" t="str">
        <f aca="false">TEXT(B168,"mmm-yyyy")</f>
        <v>Jul-2023</v>
      </c>
      <c r="Q168" s="14" t="n">
        <f aca="false">IFERROR(O168/N168,"")</f>
        <v>0.211577011304222</v>
      </c>
      <c r="R168" s="8" t="str">
        <f aca="false">IF(OR(N168&gt;$U$3,N168&lt;$U$2),"Sales Outlier",IF(OR(O168&gt;$U$6,O168&lt;$U$4),"Profit Outlier",""))</f>
        <v/>
      </c>
    </row>
    <row r="169" customFormat="false" ht="15" hidden="false" customHeight="true" outlineLevel="0" collapsed="false">
      <c r="A169" s="8" t="s">
        <v>1997</v>
      </c>
      <c r="B169" s="11" t="n">
        <v>45137</v>
      </c>
      <c r="C169" s="11" t="n">
        <v>45141</v>
      </c>
      <c r="D169" s="8" t="s">
        <v>1625</v>
      </c>
      <c r="E169" s="8" t="s">
        <v>2285</v>
      </c>
      <c r="F169" s="8" t="s">
        <v>126</v>
      </c>
      <c r="G169" s="8" t="s">
        <v>89</v>
      </c>
      <c r="H169" s="8" t="s">
        <v>77</v>
      </c>
      <c r="I169" s="8" t="s">
        <v>71</v>
      </c>
      <c r="J169" s="8" t="s">
        <v>47</v>
      </c>
      <c r="K169" s="8" t="n">
        <v>1</v>
      </c>
      <c r="L169" s="12" t="n">
        <v>96.27</v>
      </c>
      <c r="M169" s="13" t="n">
        <v>0.2</v>
      </c>
      <c r="N169" s="12" t="n">
        <v>77.02</v>
      </c>
      <c r="O169" s="12" t="n">
        <v>2.79</v>
      </c>
      <c r="P169" s="8" t="str">
        <f aca="false">TEXT(B169,"mmm-yyyy")</f>
        <v>Jul-2023</v>
      </c>
      <c r="Q169" s="14" t="n">
        <f aca="false">IFERROR(O169/N169,"")</f>
        <v>0.0362243573097897</v>
      </c>
      <c r="R169" s="8" t="str">
        <f aca="false">IF(OR(N169&gt;$U$3,N169&lt;$U$2),"Sales Outlier",IF(OR(O169&gt;$U$6,O169&lt;$U$4),"Profit Outlier",""))</f>
        <v/>
      </c>
    </row>
    <row r="170" customFormat="false" ht="15" hidden="false" customHeight="true" outlineLevel="0" collapsed="false">
      <c r="A170" s="8" t="s">
        <v>385</v>
      </c>
      <c r="B170" s="11" t="n">
        <v>45137</v>
      </c>
      <c r="C170" s="11" t="n">
        <v>45139</v>
      </c>
      <c r="D170" s="8" t="s">
        <v>387</v>
      </c>
      <c r="E170" s="8" t="s">
        <v>52</v>
      </c>
      <c r="F170" s="8" t="s">
        <v>61</v>
      </c>
      <c r="G170" s="8" t="s">
        <v>62</v>
      </c>
      <c r="H170" s="8" t="s">
        <v>37</v>
      </c>
      <c r="I170" s="8" t="s">
        <v>38</v>
      </c>
      <c r="J170" s="8" t="s">
        <v>47</v>
      </c>
      <c r="K170" s="8" t="n">
        <v>5</v>
      </c>
      <c r="L170" s="12" t="n">
        <v>164.07</v>
      </c>
      <c r="M170" s="13" t="n">
        <v>0.2</v>
      </c>
      <c r="N170" s="12" t="n">
        <v>656.28</v>
      </c>
      <c r="O170" s="12" t="n">
        <v>96.27</v>
      </c>
      <c r="P170" s="8" t="str">
        <f aca="false">TEXT(B170,"mmm-yyyy")</f>
        <v>Jul-2023</v>
      </c>
      <c r="Q170" s="14" t="n">
        <f aca="false">IFERROR(O170/N170,"")</f>
        <v>0.146690437008594</v>
      </c>
      <c r="R170" s="8" t="str">
        <f aca="false">IF(OR(N170&gt;$U$3,N170&lt;$U$2),"Sales Outlier",IF(OR(O170&gt;$U$6,O170&lt;$U$4),"Profit Outlier",""))</f>
        <v/>
      </c>
    </row>
    <row r="171" customFormat="false" ht="15" hidden="false" customHeight="true" outlineLevel="0" collapsed="false">
      <c r="A171" s="8" t="s">
        <v>281</v>
      </c>
      <c r="B171" s="11" t="n">
        <v>45138</v>
      </c>
      <c r="C171" s="11" t="n">
        <v>45140</v>
      </c>
      <c r="D171" s="8" t="s">
        <v>284</v>
      </c>
      <c r="E171" s="8" t="s">
        <v>2285</v>
      </c>
      <c r="F171" s="8" t="s">
        <v>126</v>
      </c>
      <c r="G171" s="8" t="s">
        <v>89</v>
      </c>
      <c r="H171" s="8" t="s">
        <v>77</v>
      </c>
      <c r="I171" s="8" t="s">
        <v>71</v>
      </c>
      <c r="J171" s="8" t="s">
        <v>39</v>
      </c>
      <c r="K171" s="8" t="n">
        <v>1</v>
      </c>
      <c r="L171" s="12" t="n">
        <v>414.13</v>
      </c>
      <c r="M171" s="13" t="n">
        <v>0.1</v>
      </c>
      <c r="N171" s="12" t="n">
        <v>372.72</v>
      </c>
      <c r="O171" s="12" t="n">
        <v>115.81</v>
      </c>
      <c r="P171" s="8" t="str">
        <f aca="false">TEXT(B171,"mmm-yyyy")</f>
        <v>Jul-2023</v>
      </c>
      <c r="Q171" s="14" t="n">
        <f aca="false">IFERROR(O171/N171,"")</f>
        <v>0.310715818845246</v>
      </c>
      <c r="R171" s="8" t="str">
        <f aca="false">IF(OR(N171&gt;$U$3,N171&lt;$U$2),"Sales Outlier",IF(OR(O171&gt;$U$6,O171&lt;$U$4),"Profit Outlier",""))</f>
        <v/>
      </c>
    </row>
    <row r="172" customFormat="false" ht="15" hidden="false" customHeight="true" outlineLevel="0" collapsed="false">
      <c r="A172" s="8" t="s">
        <v>144</v>
      </c>
      <c r="B172" s="11" t="n">
        <v>45139</v>
      </c>
      <c r="C172" s="11" t="n">
        <v>45144</v>
      </c>
      <c r="D172" s="8" t="s">
        <v>2282</v>
      </c>
      <c r="E172" s="8" t="s">
        <v>34</v>
      </c>
      <c r="F172" s="8" t="s">
        <v>147</v>
      </c>
      <c r="G172" s="8" t="s">
        <v>54</v>
      </c>
      <c r="H172" s="8" t="s">
        <v>45</v>
      </c>
      <c r="I172" s="8" t="s">
        <v>149</v>
      </c>
      <c r="J172" s="8" t="s">
        <v>39</v>
      </c>
      <c r="K172" s="8" t="n">
        <v>5</v>
      </c>
      <c r="L172" s="12" t="n">
        <v>543.87</v>
      </c>
      <c r="M172" s="13" t="n">
        <v>0.1</v>
      </c>
      <c r="N172" s="12" t="n">
        <v>2447.41</v>
      </c>
      <c r="O172" s="12" t="n">
        <v>458.86</v>
      </c>
      <c r="P172" s="8" t="str">
        <f aca="false">TEXT(B172,"mmm-yyyy")</f>
        <v>Aug-2023</v>
      </c>
      <c r="Q172" s="14" t="n">
        <f aca="false">IFERROR(O172/N172,"")</f>
        <v>0.187487997515741</v>
      </c>
      <c r="R172" s="8" t="str">
        <f aca="false">IF(OR(N172&gt;$U$3,N172&lt;$U$2),"Sales Outlier",IF(OR(O172&gt;$U$6,O172&lt;$U$4),"Profit Outlier",""))</f>
        <v/>
      </c>
    </row>
    <row r="173" customFormat="false" ht="15" hidden="false" customHeight="true" outlineLevel="0" collapsed="false">
      <c r="A173" s="8" t="s">
        <v>1154</v>
      </c>
      <c r="B173" s="11" t="n">
        <v>45140</v>
      </c>
      <c r="C173" s="11" t="n">
        <v>45144</v>
      </c>
      <c r="D173" s="8" t="s">
        <v>2282</v>
      </c>
      <c r="E173" s="8" t="s">
        <v>2285</v>
      </c>
      <c r="F173" s="8" t="s">
        <v>147</v>
      </c>
      <c r="G173" s="8" t="s">
        <v>215</v>
      </c>
      <c r="H173" s="8" t="s">
        <v>77</v>
      </c>
      <c r="I173" s="8" t="s">
        <v>71</v>
      </c>
      <c r="J173" s="8" t="s">
        <v>29</v>
      </c>
      <c r="K173" s="8" t="n">
        <v>2</v>
      </c>
      <c r="L173" s="12" t="n">
        <v>1041.7</v>
      </c>
      <c r="M173" s="13" t="n">
        <v>0</v>
      </c>
      <c r="N173" s="12" t="n">
        <v>1041.7</v>
      </c>
      <c r="O173" s="12" t="n">
        <v>-11.06</v>
      </c>
      <c r="P173" s="8" t="str">
        <f aca="false">TEXT(B173,"mmm-yyyy")</f>
        <v>Aug-2023</v>
      </c>
      <c r="Q173" s="14" t="n">
        <f aca="false">IFERROR(O173/N173,"")</f>
        <v>-0.0106172602476721</v>
      </c>
      <c r="R173" s="8" t="str">
        <f aca="false">IF(OR(N173&gt;$U$3,N173&lt;$U$2),"Sales Outlier",IF(OR(O173&gt;$U$6,O173&lt;$U$4),"Profit Outlier",""))</f>
        <v/>
      </c>
    </row>
    <row r="174" customFormat="false" ht="15" hidden="false" customHeight="true" outlineLevel="0" collapsed="false">
      <c r="A174" s="8" t="s">
        <v>501</v>
      </c>
      <c r="B174" s="11" t="n">
        <v>45142</v>
      </c>
      <c r="C174" s="11" t="n">
        <v>45145</v>
      </c>
      <c r="D174" s="8" t="s">
        <v>504</v>
      </c>
      <c r="E174" s="8" t="s">
        <v>24</v>
      </c>
      <c r="F174" s="8" t="s">
        <v>61</v>
      </c>
      <c r="G174" s="8" t="s">
        <v>62</v>
      </c>
      <c r="H174" s="8" t="s">
        <v>45</v>
      </c>
      <c r="I174" s="8" t="s">
        <v>160</v>
      </c>
      <c r="J174" s="8" t="s">
        <v>39</v>
      </c>
      <c r="K174" s="8" t="n">
        <v>3</v>
      </c>
      <c r="L174" s="12" t="n">
        <v>113.46</v>
      </c>
      <c r="M174" s="13" t="n">
        <v>0</v>
      </c>
      <c r="N174" s="12" t="n">
        <v>340.38</v>
      </c>
      <c r="O174" s="12" t="n">
        <v>-12.62</v>
      </c>
      <c r="P174" s="8" t="str">
        <f aca="false">TEXT(B174,"mmm-yyyy")</f>
        <v>Aug-2023</v>
      </c>
      <c r="Q174" s="14" t="n">
        <f aca="false">IFERROR(O174/N174,"")</f>
        <v>-0.0370762089429461</v>
      </c>
      <c r="R174" s="8" t="str">
        <f aca="false">IF(OR(N174&gt;$U$3,N174&lt;$U$2),"Sales Outlier",IF(OR(O174&gt;$U$6,O174&lt;$U$4),"Profit Outlier",""))</f>
        <v/>
      </c>
    </row>
    <row r="175" customFormat="false" ht="15" hidden="false" customHeight="true" outlineLevel="0" collapsed="false">
      <c r="A175" s="8" t="s">
        <v>2092</v>
      </c>
      <c r="B175" s="11" t="n">
        <v>45142</v>
      </c>
      <c r="C175" s="11" t="n">
        <v>45145</v>
      </c>
      <c r="D175" s="8" t="s">
        <v>2093</v>
      </c>
      <c r="E175" s="8" t="s">
        <v>52</v>
      </c>
      <c r="F175" s="8" t="s">
        <v>61</v>
      </c>
      <c r="G175" s="8" t="s">
        <v>76</v>
      </c>
      <c r="H175" s="8" t="s">
        <v>37</v>
      </c>
      <c r="I175" s="8" t="s">
        <v>84</v>
      </c>
      <c r="J175" s="8" t="s">
        <v>64</v>
      </c>
      <c r="K175" s="8" t="n">
        <v>1</v>
      </c>
      <c r="L175" s="12" t="n">
        <v>787.64</v>
      </c>
      <c r="M175" s="13" t="n">
        <v>0.2</v>
      </c>
      <c r="N175" s="12" t="n">
        <v>630.11</v>
      </c>
      <c r="O175" s="12" t="n">
        <v>195.2</v>
      </c>
      <c r="P175" s="8" t="str">
        <f aca="false">TEXT(B175,"mmm-yyyy")</f>
        <v>Aug-2023</v>
      </c>
      <c r="Q175" s="14" t="n">
        <f aca="false">IFERROR(O175/N175,"")</f>
        <v>0.309787180016188</v>
      </c>
      <c r="R175" s="8" t="str">
        <f aca="false">IF(OR(N175&gt;$U$3,N175&lt;$U$2),"Sales Outlier",IF(OR(O175&gt;$U$6,O175&lt;$U$4),"Profit Outlier",""))</f>
        <v/>
      </c>
    </row>
    <row r="176" customFormat="false" ht="15" hidden="false" customHeight="true" outlineLevel="0" collapsed="false">
      <c r="A176" s="8" t="s">
        <v>57</v>
      </c>
      <c r="B176" s="11" t="n">
        <v>45143</v>
      </c>
      <c r="C176" s="11" t="n">
        <v>45147</v>
      </c>
      <c r="D176" s="8" t="s">
        <v>60</v>
      </c>
      <c r="E176" s="8" t="s">
        <v>2285</v>
      </c>
      <c r="F176" s="8" t="s">
        <v>61</v>
      </c>
      <c r="G176" s="8" t="s">
        <v>62</v>
      </c>
      <c r="H176" s="8" t="s">
        <v>132</v>
      </c>
      <c r="I176" s="8" t="s">
        <v>63</v>
      </c>
      <c r="J176" s="8" t="s">
        <v>64</v>
      </c>
      <c r="K176" s="8" t="n">
        <v>5</v>
      </c>
      <c r="L176" s="12" t="n">
        <v>265.31</v>
      </c>
      <c r="M176" s="13" t="n">
        <v>0.15</v>
      </c>
      <c r="N176" s="12" t="n">
        <v>1127.57</v>
      </c>
      <c r="O176" s="12" t="n">
        <v>340.94</v>
      </c>
      <c r="P176" s="8" t="str">
        <f aca="false">TEXT(B176,"mmm-yyyy")</f>
        <v>Aug-2023</v>
      </c>
      <c r="Q176" s="14" t="n">
        <f aca="false">IFERROR(O176/N176,"")</f>
        <v>0.302367037079738</v>
      </c>
      <c r="R176" s="8" t="str">
        <f aca="false">IF(OR(N176&gt;$U$3,N176&lt;$U$2),"Sales Outlier",IF(OR(O176&gt;$U$6,O176&lt;$U$4),"Profit Outlier",""))</f>
        <v/>
      </c>
    </row>
    <row r="177" customFormat="false" ht="15" hidden="false" customHeight="true" outlineLevel="0" collapsed="false">
      <c r="A177" s="8" t="s">
        <v>618</v>
      </c>
      <c r="B177" s="11" t="n">
        <v>45143</v>
      </c>
      <c r="C177" s="11" t="n">
        <v>45148</v>
      </c>
      <c r="D177" s="8" t="s">
        <v>621</v>
      </c>
      <c r="E177" s="8" t="s">
        <v>2285</v>
      </c>
      <c r="F177" s="8" t="s">
        <v>147</v>
      </c>
      <c r="G177" s="8" t="s">
        <v>54</v>
      </c>
      <c r="H177" s="8" t="s">
        <v>114</v>
      </c>
      <c r="I177" s="8" t="s">
        <v>96</v>
      </c>
      <c r="J177" s="8" t="s">
        <v>64</v>
      </c>
      <c r="K177" s="8" t="n">
        <v>4</v>
      </c>
      <c r="L177" s="12" t="n">
        <v>484.39</v>
      </c>
      <c r="M177" s="13" t="n">
        <v>0</v>
      </c>
      <c r="N177" s="12" t="n">
        <v>1937.56</v>
      </c>
      <c r="O177" s="12" t="n">
        <v>37.19</v>
      </c>
      <c r="P177" s="8" t="str">
        <f aca="false">TEXT(B177,"mmm-yyyy")</f>
        <v>Aug-2023</v>
      </c>
      <c r="Q177" s="14" t="n">
        <f aca="false">IFERROR(O177/N177,"")</f>
        <v>0.0191942443072731</v>
      </c>
      <c r="R177" s="8" t="str">
        <f aca="false">IF(OR(N177&gt;$U$3,N177&lt;$U$2),"Sales Outlier",IF(OR(O177&gt;$U$6,O177&lt;$U$4),"Profit Outlier",""))</f>
        <v/>
      </c>
    </row>
    <row r="178" customFormat="false" ht="15" hidden="false" customHeight="true" outlineLevel="0" collapsed="false">
      <c r="A178" s="8" t="s">
        <v>413</v>
      </c>
      <c r="B178" s="11" t="n">
        <v>45143</v>
      </c>
      <c r="C178" s="11" t="n">
        <v>45147</v>
      </c>
      <c r="D178" s="8" t="s">
        <v>416</v>
      </c>
      <c r="E178" s="8" t="s">
        <v>34</v>
      </c>
      <c r="F178" s="8" t="s">
        <v>126</v>
      </c>
      <c r="G178" s="8" t="s">
        <v>89</v>
      </c>
      <c r="H178" s="8" t="s">
        <v>114</v>
      </c>
      <c r="I178" s="8" t="s">
        <v>115</v>
      </c>
      <c r="J178" s="8" t="s">
        <v>39</v>
      </c>
      <c r="K178" s="8" t="n">
        <v>1</v>
      </c>
      <c r="L178" s="12" t="n">
        <v>628.19</v>
      </c>
      <c r="M178" s="13" t="n">
        <v>0.05</v>
      </c>
      <c r="N178" s="12" t="n">
        <v>596.78</v>
      </c>
      <c r="O178" s="12" t="n">
        <v>66.12</v>
      </c>
      <c r="P178" s="8" t="str">
        <f aca="false">TEXT(B178,"mmm-yyyy")</f>
        <v>Aug-2023</v>
      </c>
      <c r="Q178" s="14" t="n">
        <f aca="false">IFERROR(O178/N178,"")</f>
        <v>0.110794597674185</v>
      </c>
      <c r="R178" s="8" t="str">
        <f aca="false">IF(OR(N178&gt;$U$3,N178&lt;$U$2),"Sales Outlier",IF(OR(O178&gt;$U$6,O178&lt;$U$4),"Profit Outlier",""))</f>
        <v/>
      </c>
    </row>
    <row r="179" customFormat="false" ht="15" hidden="false" customHeight="true" outlineLevel="0" collapsed="false">
      <c r="A179" s="8" t="s">
        <v>1183</v>
      </c>
      <c r="B179" s="11" t="n">
        <v>45146</v>
      </c>
      <c r="C179" s="11" t="n">
        <v>45149</v>
      </c>
      <c r="D179" s="8" t="s">
        <v>100</v>
      </c>
      <c r="E179" s="8" t="s">
        <v>34</v>
      </c>
      <c r="F179" s="8" t="s">
        <v>126</v>
      </c>
      <c r="G179" s="8" t="s">
        <v>26</v>
      </c>
      <c r="H179" s="8" t="s">
        <v>45</v>
      </c>
      <c r="I179" s="8" t="s">
        <v>149</v>
      </c>
      <c r="J179" s="8" t="s">
        <v>29</v>
      </c>
      <c r="K179" s="8" t="n">
        <v>1</v>
      </c>
      <c r="L179" s="12" t="n">
        <v>438.3</v>
      </c>
      <c r="M179" s="13" t="n">
        <v>0.05</v>
      </c>
      <c r="N179" s="12" t="n">
        <v>416.38</v>
      </c>
      <c r="O179" s="12" t="n">
        <v>116.58</v>
      </c>
      <c r="P179" s="8" t="str">
        <f aca="false">TEXT(B179,"mmm-yyyy")</f>
        <v>Aug-2023</v>
      </c>
      <c r="Q179" s="14" t="n">
        <f aca="false">IFERROR(O179/N179,"")</f>
        <v>0.279984629425044</v>
      </c>
      <c r="R179" s="8" t="str">
        <f aca="false">IF(OR(N179&gt;$U$3,N179&lt;$U$2),"Sales Outlier",IF(OR(O179&gt;$U$6,O179&lt;$U$4),"Profit Outlier",""))</f>
        <v/>
      </c>
    </row>
    <row r="180" customFormat="false" ht="15" hidden="false" customHeight="true" outlineLevel="0" collapsed="false">
      <c r="A180" s="8" t="s">
        <v>2113</v>
      </c>
      <c r="B180" s="11" t="n">
        <v>45146</v>
      </c>
      <c r="C180" s="11" t="n">
        <v>45151</v>
      </c>
      <c r="D180" s="8" t="s">
        <v>1939</v>
      </c>
      <c r="E180" s="8" t="s">
        <v>24</v>
      </c>
      <c r="F180" s="8" t="s">
        <v>126</v>
      </c>
      <c r="G180" s="8" t="s">
        <v>26</v>
      </c>
      <c r="H180" s="8" t="s">
        <v>132</v>
      </c>
      <c r="I180" s="8" t="s">
        <v>56</v>
      </c>
      <c r="J180" s="8" t="s">
        <v>64</v>
      </c>
      <c r="K180" s="8" t="n">
        <v>4</v>
      </c>
      <c r="L180" s="12" t="n">
        <v>1177.65</v>
      </c>
      <c r="M180" s="13" t="n">
        <v>0.15</v>
      </c>
      <c r="N180" s="12" t="n">
        <v>4004.01</v>
      </c>
      <c r="O180" s="12" t="n">
        <v>973.07</v>
      </c>
      <c r="P180" s="8" t="str">
        <f aca="false">TEXT(B180,"mmm-yyyy")</f>
        <v>Aug-2023</v>
      </c>
      <c r="Q180" s="14" t="n">
        <f aca="false">IFERROR(O180/N180,"")</f>
        <v>0.243023868571757</v>
      </c>
      <c r="R180" s="8" t="str">
        <f aca="false">IF(OR(N180&gt;$U$3,N180&lt;$U$2),"Sales Outlier",IF(OR(O180&gt;$U$6,O180&lt;$U$4),"Profit Outlier",""))</f>
        <v/>
      </c>
    </row>
    <row r="181" customFormat="false" ht="15" hidden="false" customHeight="true" outlineLevel="0" collapsed="false">
      <c r="A181" s="8" t="s">
        <v>1527</v>
      </c>
      <c r="B181" s="11" t="n">
        <v>45146</v>
      </c>
      <c r="C181" s="11"/>
      <c r="D181" s="8" t="s">
        <v>1529</v>
      </c>
      <c r="E181" s="8" t="s">
        <v>2285</v>
      </c>
      <c r="F181" s="8" t="s">
        <v>126</v>
      </c>
      <c r="G181" s="8" t="s">
        <v>26</v>
      </c>
      <c r="H181" s="8" t="s">
        <v>37</v>
      </c>
      <c r="I181" s="8" t="s">
        <v>38</v>
      </c>
      <c r="J181" s="8" t="s">
        <v>47</v>
      </c>
      <c r="K181" s="8" t="n">
        <v>4</v>
      </c>
      <c r="L181" s="12" t="n">
        <v>639.17</v>
      </c>
      <c r="M181" s="13" t="n">
        <v>0.2</v>
      </c>
      <c r="N181" s="12" t="n">
        <v>2045.34</v>
      </c>
      <c r="O181" s="12" t="n">
        <v>435.24</v>
      </c>
      <c r="P181" s="8" t="str">
        <f aca="false">TEXT(B181,"mmm-yyyy")</f>
        <v>Aug-2023</v>
      </c>
      <c r="Q181" s="14" t="n">
        <f aca="false">IFERROR(O181/N181,"")</f>
        <v>0.212795916571328</v>
      </c>
      <c r="R181" s="8" t="str">
        <f aca="false">IF(OR(N181&gt;$U$3,N181&lt;$U$2),"Sales Outlier",IF(OR(O181&gt;$U$6,O181&lt;$U$4),"Profit Outlier",""))</f>
        <v/>
      </c>
    </row>
    <row r="182" customFormat="false" ht="15" hidden="false" customHeight="true" outlineLevel="0" collapsed="false">
      <c r="A182" s="8" t="s">
        <v>1510</v>
      </c>
      <c r="B182" s="11" t="n">
        <v>45154</v>
      </c>
      <c r="C182" s="11" t="n">
        <v>45160</v>
      </c>
      <c r="D182" s="8" t="s">
        <v>1513</v>
      </c>
      <c r="E182" s="8" t="s">
        <v>52</v>
      </c>
      <c r="F182" s="8" t="s">
        <v>126</v>
      </c>
      <c r="G182" s="8" t="s">
        <v>82</v>
      </c>
      <c r="H182" s="8" t="s">
        <v>77</v>
      </c>
      <c r="I182" s="8" t="s">
        <v>71</v>
      </c>
      <c r="J182" s="8" t="s">
        <v>39</v>
      </c>
      <c r="K182" s="8" t="n">
        <v>2</v>
      </c>
      <c r="L182" s="12" t="n">
        <v>415.08</v>
      </c>
      <c r="M182" s="13" t="n">
        <v>0</v>
      </c>
      <c r="N182" s="12" t="n">
        <v>830.16</v>
      </c>
      <c r="O182" s="12" t="n">
        <v>231.02</v>
      </c>
      <c r="P182" s="8" t="str">
        <f aca="false">TEXT(B182,"mmm-yyyy")</f>
        <v>Aug-2023</v>
      </c>
      <c r="Q182" s="14" t="n">
        <f aca="false">IFERROR(O182/N182,"")</f>
        <v>0.27828370434615</v>
      </c>
      <c r="R182" s="8" t="str">
        <f aca="false">IF(OR(N182&gt;$U$3,N182&lt;$U$2),"Sales Outlier",IF(OR(O182&gt;$U$6,O182&lt;$U$4),"Profit Outlier",""))</f>
        <v/>
      </c>
    </row>
    <row r="183" customFormat="false" ht="15" hidden="false" customHeight="true" outlineLevel="0" collapsed="false">
      <c r="A183" s="8" t="s">
        <v>682</v>
      </c>
      <c r="B183" s="11" t="n">
        <v>45155</v>
      </c>
      <c r="C183" s="11" t="n">
        <v>45156</v>
      </c>
      <c r="D183" s="8" t="s">
        <v>685</v>
      </c>
      <c r="E183" s="8" t="s">
        <v>24</v>
      </c>
      <c r="F183" s="8" t="s">
        <v>147</v>
      </c>
      <c r="G183" s="8" t="s">
        <v>326</v>
      </c>
      <c r="H183" s="8" t="s">
        <v>77</v>
      </c>
      <c r="I183" s="8" t="s">
        <v>71</v>
      </c>
      <c r="J183" s="8" t="s">
        <v>47</v>
      </c>
      <c r="K183" s="8" t="n">
        <v>2</v>
      </c>
      <c r="L183" s="12" t="n">
        <v>159.02</v>
      </c>
      <c r="M183" s="13" t="n">
        <v>0</v>
      </c>
      <c r="N183" s="12" t="n">
        <v>159.02</v>
      </c>
      <c r="O183" s="12" t="n">
        <v>7.52</v>
      </c>
      <c r="P183" s="8" t="str">
        <f aca="false">TEXT(B183,"mmm-yyyy")</f>
        <v>Aug-2023</v>
      </c>
      <c r="Q183" s="14" t="n">
        <f aca="false">IFERROR(O183/N183,"")</f>
        <v>0.047289649100742</v>
      </c>
      <c r="R183" s="8" t="str">
        <f aca="false">IF(OR(N183&gt;$U$3,N183&lt;$U$2),"Sales Outlier",IF(OR(O183&gt;$U$6,O183&lt;$U$4),"Profit Outlier",""))</f>
        <v/>
      </c>
    </row>
    <row r="184" customFormat="false" ht="15" hidden="false" customHeight="true" outlineLevel="0" collapsed="false">
      <c r="A184" s="8" t="s">
        <v>2018</v>
      </c>
      <c r="B184" s="11" t="n">
        <v>45156</v>
      </c>
      <c r="C184" s="11" t="n">
        <v>45158</v>
      </c>
      <c r="D184" s="8" t="s">
        <v>2021</v>
      </c>
      <c r="E184" s="8" t="s">
        <v>24</v>
      </c>
      <c r="F184" s="8" t="s">
        <v>61</v>
      </c>
      <c r="G184" s="8" t="s">
        <v>36</v>
      </c>
      <c r="H184" s="8" t="s">
        <v>114</v>
      </c>
      <c r="I184" s="8" t="s">
        <v>96</v>
      </c>
      <c r="J184" s="8" t="s">
        <v>39</v>
      </c>
      <c r="K184" s="8" t="n">
        <v>3</v>
      </c>
      <c r="L184" s="12" t="n">
        <v>332.25</v>
      </c>
      <c r="M184" s="13" t="n">
        <v>0.15</v>
      </c>
      <c r="N184" s="12" t="n">
        <v>847.24</v>
      </c>
      <c r="O184" s="12" t="n">
        <v>21.51</v>
      </c>
      <c r="P184" s="8" t="str">
        <f aca="false">TEXT(B184,"mmm-yyyy")</f>
        <v>Aug-2023</v>
      </c>
      <c r="Q184" s="14" t="n">
        <f aca="false">IFERROR(O184/N184,"")</f>
        <v>0.0253883197205042</v>
      </c>
      <c r="R184" s="8" t="str">
        <f aca="false">IF(OR(N184&gt;$U$3,N184&lt;$U$2),"Sales Outlier",IF(OR(O184&gt;$U$6,O184&lt;$U$4),"Profit Outlier",""))</f>
        <v/>
      </c>
    </row>
    <row r="185" customFormat="false" ht="15" hidden="false" customHeight="true" outlineLevel="0" collapsed="false">
      <c r="A185" s="8" t="s">
        <v>2122</v>
      </c>
      <c r="B185" s="11" t="n">
        <v>45157</v>
      </c>
      <c r="C185" s="11" t="n">
        <v>45163</v>
      </c>
      <c r="D185" s="8" t="s">
        <v>125</v>
      </c>
      <c r="E185" s="8" t="s">
        <v>52</v>
      </c>
      <c r="F185" s="8" t="s">
        <v>126</v>
      </c>
      <c r="G185" s="8" t="s">
        <v>89</v>
      </c>
      <c r="H185" s="8" t="s">
        <v>132</v>
      </c>
      <c r="I185" s="8" t="s">
        <v>220</v>
      </c>
      <c r="J185" s="8" t="s">
        <v>39</v>
      </c>
      <c r="K185" s="8" t="n">
        <v>2</v>
      </c>
      <c r="L185" s="12" t="n">
        <v>994.32</v>
      </c>
      <c r="M185" s="13" t="n">
        <v>0.05</v>
      </c>
      <c r="N185" s="12" t="n">
        <v>1889.21</v>
      </c>
      <c r="O185" s="12" t="n">
        <v>586.73</v>
      </c>
      <c r="P185" s="8" t="str">
        <f aca="false">TEXT(B185,"mmm-yyyy")</f>
        <v>Aug-2023</v>
      </c>
      <c r="Q185" s="14" t="n">
        <f aca="false">IFERROR(O185/N185,"")</f>
        <v>0.310568967981326</v>
      </c>
      <c r="R185" s="8" t="str">
        <f aca="false">IF(OR(N185&gt;$U$3,N185&lt;$U$2),"Sales Outlier",IF(OR(O185&gt;$U$6,O185&lt;$U$4),"Profit Outlier",""))</f>
        <v/>
      </c>
    </row>
    <row r="186" customFormat="false" ht="15" hidden="false" customHeight="true" outlineLevel="0" collapsed="false">
      <c r="A186" s="8" t="s">
        <v>1249</v>
      </c>
      <c r="B186" s="11" t="n">
        <v>45157</v>
      </c>
      <c r="C186" s="11" t="n">
        <v>45162</v>
      </c>
      <c r="D186" s="8" t="s">
        <v>164</v>
      </c>
      <c r="E186" s="8" t="s">
        <v>2285</v>
      </c>
      <c r="F186" s="8" t="s">
        <v>147</v>
      </c>
      <c r="G186" s="8" t="s">
        <v>326</v>
      </c>
      <c r="H186" s="8" t="s">
        <v>45</v>
      </c>
      <c r="I186" s="8" t="s">
        <v>28</v>
      </c>
      <c r="J186" s="8" t="s">
        <v>29</v>
      </c>
      <c r="K186" s="8" t="n">
        <v>2</v>
      </c>
      <c r="L186" s="12" t="n">
        <v>354.05</v>
      </c>
      <c r="M186" s="13" t="n">
        <v>0.1</v>
      </c>
      <c r="N186" s="12" t="n">
        <v>637.29</v>
      </c>
      <c r="O186" s="12" t="n">
        <v>82.76</v>
      </c>
      <c r="P186" s="8" t="str">
        <f aca="false">TEXT(B186,"mmm-yyyy")</f>
        <v>Aug-2023</v>
      </c>
      <c r="Q186" s="14" t="n">
        <f aca="false">IFERROR(O186/N186,"")</f>
        <v>0.129862386040892</v>
      </c>
      <c r="R186" s="8" t="str">
        <f aca="false">IF(OR(N186&gt;$U$3,N186&lt;$U$2),"Sales Outlier",IF(OR(O186&gt;$U$6,O186&lt;$U$4),"Profit Outlier",""))</f>
        <v/>
      </c>
    </row>
    <row r="187" customFormat="false" ht="15" hidden="false" customHeight="true" outlineLevel="0" collapsed="false">
      <c r="A187" s="8" t="s">
        <v>2005</v>
      </c>
      <c r="B187" s="11" t="n">
        <v>45159</v>
      </c>
      <c r="C187" s="11" t="n">
        <v>45165</v>
      </c>
      <c r="D187" s="8" t="s">
        <v>2008</v>
      </c>
      <c r="E187" s="8" t="s">
        <v>34</v>
      </c>
      <c r="F187" s="8" t="s">
        <v>147</v>
      </c>
      <c r="G187" s="8" t="s">
        <v>54</v>
      </c>
      <c r="H187" s="8" t="s">
        <v>45</v>
      </c>
      <c r="I187" s="8" t="s">
        <v>28</v>
      </c>
      <c r="J187" s="8" t="s">
        <v>29</v>
      </c>
      <c r="K187" s="8" t="n">
        <v>2</v>
      </c>
      <c r="L187" s="12" t="n">
        <v>759.24</v>
      </c>
      <c r="M187" s="13" t="n">
        <v>0.1</v>
      </c>
      <c r="N187" s="12" t="n">
        <v>1366.63</v>
      </c>
      <c r="O187" s="12" t="n">
        <v>62.82</v>
      </c>
      <c r="P187" s="8" t="str">
        <f aca="false">TEXT(B187,"mmm-yyyy")</f>
        <v>Aug-2023</v>
      </c>
      <c r="Q187" s="14" t="n">
        <f aca="false">IFERROR(O187/N187,"")</f>
        <v>0.0459670869218442</v>
      </c>
      <c r="R187" s="8" t="str">
        <f aca="false">IF(OR(N187&gt;$U$3,N187&lt;$U$2),"Sales Outlier",IF(OR(O187&gt;$U$6,O187&lt;$U$4),"Profit Outlier",""))</f>
        <v/>
      </c>
    </row>
    <row r="188" customFormat="false" ht="15" hidden="false" customHeight="true" outlineLevel="0" collapsed="false">
      <c r="A188" s="8" t="s">
        <v>1816</v>
      </c>
      <c r="B188" s="11" t="n">
        <v>45163</v>
      </c>
      <c r="C188" s="11"/>
      <c r="D188" s="8" t="s">
        <v>1818</v>
      </c>
      <c r="E188" s="8" t="s">
        <v>24</v>
      </c>
      <c r="F188" s="8" t="s">
        <v>147</v>
      </c>
      <c r="G188" s="8" t="s">
        <v>54</v>
      </c>
      <c r="H188" s="8" t="s">
        <v>45</v>
      </c>
      <c r="I188" s="8" t="s">
        <v>28</v>
      </c>
      <c r="J188" s="8" t="s">
        <v>47</v>
      </c>
      <c r="K188" s="8" t="n">
        <v>1</v>
      </c>
      <c r="L188" s="12" t="n">
        <v>1086.21</v>
      </c>
      <c r="M188" s="13" t="n">
        <v>0</v>
      </c>
      <c r="N188" s="12" t="n">
        <v>1086.21</v>
      </c>
      <c r="O188" s="12" t="n">
        <v>307.95</v>
      </c>
      <c r="P188" s="8" t="str">
        <f aca="false">TEXT(B188,"mmm-yyyy")</f>
        <v>Aug-2023</v>
      </c>
      <c r="Q188" s="14" t="n">
        <f aca="false">IFERROR(O188/N188,"")</f>
        <v>0.283508713784627</v>
      </c>
      <c r="R188" s="8" t="str">
        <f aca="false">IF(OR(N188&gt;$U$3,N188&lt;$U$2),"Sales Outlier",IF(OR(O188&gt;$U$6,O188&lt;$U$4),"Profit Outlier",""))</f>
        <v/>
      </c>
    </row>
    <row r="189" customFormat="false" ht="15" hidden="false" customHeight="true" outlineLevel="0" collapsed="false">
      <c r="A189" s="8" t="s">
        <v>490</v>
      </c>
      <c r="B189" s="11" t="n">
        <v>45163</v>
      </c>
      <c r="C189" s="11" t="n">
        <v>45168</v>
      </c>
      <c r="D189" s="8" t="s">
        <v>493</v>
      </c>
      <c r="E189" s="8" t="s">
        <v>2285</v>
      </c>
      <c r="F189" s="8" t="s">
        <v>147</v>
      </c>
      <c r="G189" s="8" t="s">
        <v>54</v>
      </c>
      <c r="H189" s="8" t="s">
        <v>45</v>
      </c>
      <c r="I189" s="8" t="s">
        <v>160</v>
      </c>
      <c r="J189" s="8" t="s">
        <v>29</v>
      </c>
      <c r="K189" s="8" t="n">
        <v>3</v>
      </c>
      <c r="L189" s="12" t="n">
        <v>728.7</v>
      </c>
      <c r="M189" s="13" t="n">
        <v>0.2</v>
      </c>
      <c r="N189" s="12" t="n">
        <v>1748.88</v>
      </c>
      <c r="O189" s="12" t="n">
        <v>220.44</v>
      </c>
      <c r="P189" s="8" t="str">
        <f aca="false">TEXT(B189,"mmm-yyyy")</f>
        <v>Aug-2023</v>
      </c>
      <c r="Q189" s="14" t="n">
        <f aca="false">IFERROR(O189/N189,"")</f>
        <v>0.126046383971456</v>
      </c>
      <c r="R189" s="8" t="str">
        <f aca="false">IF(OR(N189&gt;$U$3,N189&lt;$U$2),"Sales Outlier",IF(OR(O189&gt;$U$6,O189&lt;$U$4),"Profit Outlier",""))</f>
        <v/>
      </c>
    </row>
    <row r="190" customFormat="false" ht="15" hidden="false" customHeight="true" outlineLevel="0" collapsed="false">
      <c r="A190" s="8" t="s">
        <v>339</v>
      </c>
      <c r="B190" s="11" t="n">
        <v>45164</v>
      </c>
      <c r="C190" s="11" t="n">
        <v>45166</v>
      </c>
      <c r="D190" s="8" t="s">
        <v>342</v>
      </c>
      <c r="E190" s="8" t="s">
        <v>52</v>
      </c>
      <c r="F190" s="8" t="s">
        <v>154</v>
      </c>
      <c r="G190" s="8" t="s">
        <v>102</v>
      </c>
      <c r="H190" s="8" t="s">
        <v>114</v>
      </c>
      <c r="I190" s="8" t="s">
        <v>297</v>
      </c>
      <c r="J190" s="8" t="s">
        <v>64</v>
      </c>
      <c r="K190" s="8" t="n">
        <v>1</v>
      </c>
      <c r="L190" s="12" t="n">
        <v>1062.82</v>
      </c>
      <c r="M190" s="13" t="n">
        <v>0</v>
      </c>
      <c r="N190" s="12" t="n">
        <v>1062.82</v>
      </c>
      <c r="O190" s="12" t="n">
        <v>269.33</v>
      </c>
      <c r="P190" s="8" t="str">
        <f aca="false">TEXT(B190,"mmm-yyyy")</f>
        <v>Aug-2023</v>
      </c>
      <c r="Q190" s="14" t="n">
        <f aca="false">IFERROR(O190/N190,"")</f>
        <v>0.253410737472008</v>
      </c>
      <c r="R190" s="8" t="str">
        <f aca="false">IF(OR(N190&gt;$U$3,N190&lt;$U$2),"Sales Outlier",IF(OR(O190&gt;$U$6,O190&lt;$U$4),"Profit Outlier",""))</f>
        <v/>
      </c>
    </row>
    <row r="191" customFormat="false" ht="15" hidden="false" customHeight="true" outlineLevel="0" collapsed="false">
      <c r="A191" s="8" t="s">
        <v>622</v>
      </c>
      <c r="B191" s="11" t="n">
        <v>45168</v>
      </c>
      <c r="C191" s="11" t="n">
        <v>45173</v>
      </c>
      <c r="D191" s="8" t="s">
        <v>625</v>
      </c>
      <c r="E191" s="8" t="s">
        <v>24</v>
      </c>
      <c r="F191" s="8" t="s">
        <v>154</v>
      </c>
      <c r="G191" s="8" t="s">
        <v>102</v>
      </c>
      <c r="H191" s="8" t="s">
        <v>45</v>
      </c>
      <c r="I191" s="8" t="s">
        <v>138</v>
      </c>
      <c r="J191" s="8" t="s">
        <v>47</v>
      </c>
      <c r="K191" s="8" t="n">
        <v>1</v>
      </c>
      <c r="L191" s="12" t="n">
        <v>866.37</v>
      </c>
      <c r="M191" s="13" t="n">
        <v>0</v>
      </c>
      <c r="N191" s="12" t="n">
        <v>866.37</v>
      </c>
      <c r="O191" s="12" t="n">
        <v>227.47</v>
      </c>
      <c r="P191" s="8" t="str">
        <f aca="false">TEXT(B191,"mmm-yyyy")</f>
        <v>Aug-2023</v>
      </c>
      <c r="Q191" s="14" t="n">
        <f aca="false">IFERROR(O191/N191,"")</f>
        <v>0.262555259300299</v>
      </c>
      <c r="R191" s="8" t="str">
        <f aca="false">IF(OR(N191&gt;$U$3,N191&lt;$U$2),"Sales Outlier",IF(OR(O191&gt;$U$6,O191&lt;$U$4),"Profit Outlier",""))</f>
        <v/>
      </c>
    </row>
    <row r="192" customFormat="false" ht="15" hidden="false" customHeight="true" outlineLevel="0" collapsed="false">
      <c r="A192" s="8" t="s">
        <v>1912</v>
      </c>
      <c r="B192" s="11" t="n">
        <v>45170</v>
      </c>
      <c r="C192" s="11" t="n">
        <v>45172</v>
      </c>
      <c r="D192" s="8" t="s">
        <v>898</v>
      </c>
      <c r="E192" s="8" t="s">
        <v>34</v>
      </c>
      <c r="F192" s="8" t="s">
        <v>126</v>
      </c>
      <c r="G192" s="8" t="s">
        <v>82</v>
      </c>
      <c r="H192" s="8" t="s">
        <v>77</v>
      </c>
      <c r="I192" s="8" t="s">
        <v>425</v>
      </c>
      <c r="J192" s="8" t="s">
        <v>29</v>
      </c>
      <c r="K192" s="8" t="n">
        <v>1</v>
      </c>
      <c r="L192" s="12" t="n">
        <v>731.54</v>
      </c>
      <c r="M192" s="13" t="n">
        <v>0.15</v>
      </c>
      <c r="N192" s="12" t="n">
        <v>621.81</v>
      </c>
      <c r="O192" s="12" t="n">
        <v>184.66</v>
      </c>
      <c r="P192" s="8" t="str">
        <f aca="false">TEXT(B192,"mmm-yyyy")</f>
        <v>Sep-2023</v>
      </c>
      <c r="Q192" s="14" t="n">
        <f aca="false">IFERROR(O192/N192,"")</f>
        <v>0.296971743780254</v>
      </c>
      <c r="R192" s="8" t="str">
        <f aca="false">IF(OR(N192&gt;$U$3,N192&lt;$U$2),"Sales Outlier",IF(OR(O192&gt;$U$6,O192&lt;$U$4),"Profit Outlier",""))</f>
        <v/>
      </c>
    </row>
    <row r="193" customFormat="false" ht="15" hidden="false" customHeight="true" outlineLevel="0" collapsed="false">
      <c r="A193" s="8" t="s">
        <v>396</v>
      </c>
      <c r="B193" s="11" t="n">
        <v>45173</v>
      </c>
      <c r="C193" s="11" t="n">
        <v>45177</v>
      </c>
      <c r="D193" s="8" t="s">
        <v>511</v>
      </c>
      <c r="E193" s="8" t="s">
        <v>34</v>
      </c>
      <c r="F193" s="8" t="s">
        <v>126</v>
      </c>
      <c r="G193" s="8" t="s">
        <v>82</v>
      </c>
      <c r="H193" s="8" t="s">
        <v>77</v>
      </c>
      <c r="I193" s="8" t="s">
        <v>121</v>
      </c>
      <c r="J193" s="8" t="s">
        <v>64</v>
      </c>
      <c r="K193" s="8" t="n">
        <v>3</v>
      </c>
      <c r="L193" s="12" t="n">
        <v>801.18</v>
      </c>
      <c r="M193" s="13" t="n">
        <v>0.05</v>
      </c>
      <c r="N193" s="12" t="n">
        <v>2283.36</v>
      </c>
      <c r="O193" s="12" t="n">
        <v>-117.7</v>
      </c>
      <c r="P193" s="8" t="str">
        <f aca="false">TEXT(B193,"mmm-yyyy")</f>
        <v>Sep-2023</v>
      </c>
      <c r="Q193" s="14" t="n">
        <f aca="false">IFERROR(O193/N193,"")</f>
        <v>-0.051546843248546</v>
      </c>
      <c r="R193" s="8" t="str">
        <f aca="false">IF(OR(N193&gt;$U$3,N193&lt;$U$2),"Sales Outlier",IF(OR(O193&gt;$U$6,O193&lt;$U$4),"Profit Outlier",""))</f>
        <v/>
      </c>
    </row>
    <row r="194" customFormat="false" ht="15" hidden="false" customHeight="true" outlineLevel="0" collapsed="false">
      <c r="A194" s="8" t="s">
        <v>1383</v>
      </c>
      <c r="B194" s="11" t="n">
        <v>45173</v>
      </c>
      <c r="C194" s="11" t="n">
        <v>45175</v>
      </c>
      <c r="D194" s="8" t="s">
        <v>1385</v>
      </c>
      <c r="E194" s="8" t="s">
        <v>52</v>
      </c>
      <c r="F194" s="8" t="s">
        <v>154</v>
      </c>
      <c r="G194" s="8" t="s">
        <v>182</v>
      </c>
      <c r="H194" s="8" t="s">
        <v>132</v>
      </c>
      <c r="I194" s="8" t="s">
        <v>56</v>
      </c>
      <c r="J194" s="8" t="s">
        <v>39</v>
      </c>
      <c r="K194" s="8" t="n">
        <v>2</v>
      </c>
      <c r="L194" s="12" t="n">
        <v>983.17</v>
      </c>
      <c r="M194" s="13" t="n">
        <v>0</v>
      </c>
      <c r="N194" s="12" t="n">
        <v>1966.34</v>
      </c>
      <c r="O194" s="12" t="n">
        <v>-108.13</v>
      </c>
      <c r="P194" s="8" t="str">
        <f aca="false">TEXT(B194,"mmm-yyyy")</f>
        <v>Sep-2023</v>
      </c>
      <c r="Q194" s="14" t="n">
        <f aca="false">IFERROR(O194/N194,"")</f>
        <v>-0.0549904899457876</v>
      </c>
      <c r="R194" s="8" t="str">
        <f aca="false">IF(OR(N194&gt;$U$3,N194&lt;$U$2),"Sales Outlier",IF(OR(O194&gt;$U$6,O194&lt;$U$4),"Profit Outlier",""))</f>
        <v/>
      </c>
    </row>
    <row r="195" customFormat="false" ht="15" hidden="false" customHeight="true" outlineLevel="0" collapsed="false">
      <c r="A195" s="8" t="s">
        <v>2009</v>
      </c>
      <c r="B195" s="11" t="n">
        <v>45175</v>
      </c>
      <c r="C195" s="11" t="n">
        <v>45181</v>
      </c>
      <c r="D195" s="8" t="s">
        <v>2011</v>
      </c>
      <c r="E195" s="8" t="s">
        <v>2285</v>
      </c>
      <c r="F195" s="8" t="s">
        <v>147</v>
      </c>
      <c r="G195" s="8" t="s">
        <v>54</v>
      </c>
      <c r="H195" s="8" t="s">
        <v>37</v>
      </c>
      <c r="I195" s="8" t="s">
        <v>38</v>
      </c>
      <c r="J195" s="8" t="s">
        <v>64</v>
      </c>
      <c r="K195" s="8" t="n">
        <v>1</v>
      </c>
      <c r="L195" s="12" t="n">
        <v>426.85</v>
      </c>
      <c r="M195" s="13" t="n">
        <v>0</v>
      </c>
      <c r="N195" s="12" t="n">
        <v>426.85</v>
      </c>
      <c r="O195" s="12" t="n">
        <v>-1.87</v>
      </c>
      <c r="P195" s="8" t="str">
        <f aca="false">TEXT(B195,"mmm-yyyy")</f>
        <v>Sep-2023</v>
      </c>
      <c r="Q195" s="14" t="n">
        <f aca="false">IFERROR(O195/N195,"")</f>
        <v>-0.00438093006911093</v>
      </c>
      <c r="R195" s="8" t="str">
        <f aca="false">IF(OR(N195&gt;$U$3,N195&lt;$U$2),"Sales Outlier",IF(OR(O195&gt;$U$6,O195&lt;$U$4),"Profit Outlier",""))</f>
        <v/>
      </c>
    </row>
    <row r="196" customFormat="false" ht="15" hidden="false" customHeight="true" outlineLevel="0" collapsed="false">
      <c r="A196" s="8" t="s">
        <v>1462</v>
      </c>
      <c r="B196" s="11" t="n">
        <v>45175</v>
      </c>
      <c r="C196" s="11" t="n">
        <v>45180</v>
      </c>
      <c r="D196" s="8" t="s">
        <v>1465</v>
      </c>
      <c r="E196" s="8" t="s">
        <v>52</v>
      </c>
      <c r="F196" s="8" t="s">
        <v>61</v>
      </c>
      <c r="G196" s="8" t="s">
        <v>62</v>
      </c>
      <c r="H196" s="8" t="s">
        <v>77</v>
      </c>
      <c r="I196" s="8" t="s">
        <v>425</v>
      </c>
      <c r="J196" s="8" t="s">
        <v>29</v>
      </c>
      <c r="K196" s="8" t="n">
        <v>1</v>
      </c>
      <c r="L196" s="12" t="n">
        <v>871.19</v>
      </c>
      <c r="M196" s="13" t="n">
        <v>0.2</v>
      </c>
      <c r="N196" s="12" t="n">
        <v>696.95</v>
      </c>
      <c r="O196" s="12" t="n">
        <v>-23.93</v>
      </c>
      <c r="P196" s="8" t="str">
        <f aca="false">TEXT(B196,"mmm-yyyy")</f>
        <v>Sep-2023</v>
      </c>
      <c r="Q196" s="14" t="n">
        <f aca="false">IFERROR(O196/N196,"")</f>
        <v>-0.0343353181720353</v>
      </c>
      <c r="R196" s="8" t="str">
        <f aca="false">IF(OR(N196&gt;$U$3,N196&lt;$U$2),"Sales Outlier",IF(OR(O196&gt;$U$6,O196&lt;$U$4),"Profit Outlier",""))</f>
        <v/>
      </c>
    </row>
    <row r="197" customFormat="false" ht="15" hidden="false" customHeight="true" outlineLevel="0" collapsed="false">
      <c r="A197" s="8" t="s">
        <v>2111</v>
      </c>
      <c r="B197" s="11" t="n">
        <v>45176</v>
      </c>
      <c r="C197" s="11" t="n">
        <v>45181</v>
      </c>
      <c r="D197" s="8" t="s">
        <v>898</v>
      </c>
      <c r="E197" s="8" t="s">
        <v>34</v>
      </c>
      <c r="F197" s="8" t="s">
        <v>154</v>
      </c>
      <c r="G197" s="8" t="s">
        <v>102</v>
      </c>
      <c r="H197" s="8" t="s">
        <v>132</v>
      </c>
      <c r="I197" s="8" t="s">
        <v>56</v>
      </c>
      <c r="J197" s="8" t="s">
        <v>47</v>
      </c>
      <c r="K197" s="8" t="n">
        <v>3</v>
      </c>
      <c r="L197" s="12" t="n">
        <v>77.73</v>
      </c>
      <c r="M197" s="13" t="n">
        <v>0.05</v>
      </c>
      <c r="N197" s="12" t="n">
        <v>221.53</v>
      </c>
      <c r="O197" s="12" t="n">
        <v>56.6</v>
      </c>
      <c r="P197" s="8" t="str">
        <f aca="false">TEXT(B197,"mmm-yyyy")</f>
        <v>Sep-2023</v>
      </c>
      <c r="Q197" s="14" t="n">
        <f aca="false">IFERROR(O197/N197,"")</f>
        <v>0.25549586963391</v>
      </c>
      <c r="R197" s="8" t="str">
        <f aca="false">IF(OR(N197&gt;$U$3,N197&lt;$U$2),"Sales Outlier",IF(OR(O197&gt;$U$6,O197&lt;$U$4),"Profit Outlier",""))</f>
        <v/>
      </c>
    </row>
    <row r="198" customFormat="false" ht="15" hidden="false" customHeight="true" outlineLevel="0" collapsed="false">
      <c r="A198" s="8" t="s">
        <v>1756</v>
      </c>
      <c r="B198" s="11" t="n">
        <v>45176</v>
      </c>
      <c r="C198" s="11" t="n">
        <v>45182</v>
      </c>
      <c r="D198" s="8" t="s">
        <v>837</v>
      </c>
      <c r="E198" s="8" t="s">
        <v>2285</v>
      </c>
      <c r="F198" s="8" t="s">
        <v>126</v>
      </c>
      <c r="G198" s="8" t="s">
        <v>82</v>
      </c>
      <c r="H198" s="8" t="s">
        <v>45</v>
      </c>
      <c r="I198" s="8" t="s">
        <v>46</v>
      </c>
      <c r="J198" s="8" t="s">
        <v>29</v>
      </c>
      <c r="K198" s="8" t="n">
        <v>1</v>
      </c>
      <c r="L198" s="12" t="n">
        <v>825.36</v>
      </c>
      <c r="M198" s="13" t="n">
        <v>0.2</v>
      </c>
      <c r="N198" s="12" t="n">
        <v>660.29</v>
      </c>
      <c r="O198" s="12" t="n">
        <v>79.85</v>
      </c>
      <c r="P198" s="8" t="str">
        <f aca="false">TEXT(B198,"mmm-yyyy")</f>
        <v>Sep-2023</v>
      </c>
      <c r="Q198" s="14" t="n">
        <f aca="false">IFERROR(O198/N198,"")</f>
        <v>0.120931711823593</v>
      </c>
      <c r="R198" s="8" t="str">
        <f aca="false">IF(OR(N198&gt;$U$3,N198&lt;$U$2),"Sales Outlier",IF(OR(O198&gt;$U$6,O198&lt;$U$4),"Profit Outlier",""))</f>
        <v/>
      </c>
    </row>
    <row r="199" customFormat="false" ht="15" hidden="false" customHeight="true" outlineLevel="0" collapsed="false">
      <c r="A199" s="8" t="s">
        <v>1908</v>
      </c>
      <c r="B199" s="11" t="n">
        <v>45176</v>
      </c>
      <c r="C199" s="11" t="n">
        <v>45179</v>
      </c>
      <c r="D199" s="8" t="s">
        <v>1911</v>
      </c>
      <c r="E199" s="8" t="s">
        <v>34</v>
      </c>
      <c r="F199" s="8" t="s">
        <v>126</v>
      </c>
      <c r="G199" s="8" t="s">
        <v>89</v>
      </c>
      <c r="H199" s="8" t="s">
        <v>37</v>
      </c>
      <c r="I199" s="8" t="s">
        <v>38</v>
      </c>
      <c r="J199" s="8" t="s">
        <v>29</v>
      </c>
      <c r="K199" s="8" t="n">
        <v>2</v>
      </c>
      <c r="L199" s="12" t="n">
        <v>1004.03</v>
      </c>
      <c r="M199" s="13" t="n">
        <v>0.1</v>
      </c>
      <c r="N199" s="12" t="n">
        <v>1807.25</v>
      </c>
      <c r="O199" s="12" t="n">
        <v>15.31</v>
      </c>
      <c r="P199" s="8" t="str">
        <f aca="false">TEXT(B199,"mmm-yyyy")</f>
        <v>Sep-2023</v>
      </c>
      <c r="Q199" s="14" t="n">
        <f aca="false">IFERROR(O199/N199,"")</f>
        <v>0.00847143449993083</v>
      </c>
      <c r="R199" s="8" t="str">
        <f aca="false">IF(OR(N199&gt;$U$3,N199&lt;$U$2),"Sales Outlier",IF(OR(O199&gt;$U$6,O199&lt;$U$4),"Profit Outlier",""))</f>
        <v/>
      </c>
    </row>
    <row r="200" customFormat="false" ht="15" hidden="false" customHeight="true" outlineLevel="0" collapsed="false">
      <c r="A200" s="8" t="s">
        <v>1864</v>
      </c>
      <c r="B200" s="11" t="n">
        <v>45178</v>
      </c>
      <c r="C200" s="11" t="n">
        <v>45182</v>
      </c>
      <c r="D200" s="8" t="s">
        <v>1867</v>
      </c>
      <c r="E200" s="8" t="s">
        <v>2285</v>
      </c>
      <c r="F200" s="8" t="s">
        <v>154</v>
      </c>
      <c r="G200" s="8" t="s">
        <v>102</v>
      </c>
      <c r="H200" s="8" t="s">
        <v>114</v>
      </c>
      <c r="I200" s="8" t="s">
        <v>115</v>
      </c>
      <c r="J200" s="8" t="s">
        <v>39</v>
      </c>
      <c r="K200" s="8" t="n">
        <v>2</v>
      </c>
      <c r="L200" s="12" t="n">
        <v>458.91</v>
      </c>
      <c r="M200" s="13" t="n">
        <v>0</v>
      </c>
      <c r="N200" s="12" t="n">
        <v>917.82</v>
      </c>
      <c r="O200" s="12" t="n">
        <v>-22.3</v>
      </c>
      <c r="P200" s="8" t="str">
        <f aca="false">TEXT(B200,"mmm-yyyy")</f>
        <v>Sep-2023</v>
      </c>
      <c r="Q200" s="14" t="n">
        <f aca="false">IFERROR(O200/N200,"")</f>
        <v>-0.0242967030572443</v>
      </c>
      <c r="R200" s="8" t="str">
        <f aca="false">IF(OR(N200&gt;$U$3,N200&lt;$U$2),"Sales Outlier",IF(OR(O200&gt;$U$6,O200&lt;$U$4),"Profit Outlier",""))</f>
        <v/>
      </c>
    </row>
    <row r="201" customFormat="false" ht="15" hidden="false" customHeight="true" outlineLevel="0" collapsed="false">
      <c r="A201" s="8" t="s">
        <v>2002</v>
      </c>
      <c r="B201" s="11" t="n">
        <v>45178</v>
      </c>
      <c r="C201" s="11" t="n">
        <v>45184</v>
      </c>
      <c r="D201" s="8" t="s">
        <v>2004</v>
      </c>
      <c r="E201" s="8" t="s">
        <v>2285</v>
      </c>
      <c r="F201" s="8" t="s">
        <v>61</v>
      </c>
      <c r="G201" s="8" t="s">
        <v>76</v>
      </c>
      <c r="H201" s="8" t="s">
        <v>77</v>
      </c>
      <c r="I201" s="8" t="s">
        <v>121</v>
      </c>
      <c r="J201" s="8" t="s">
        <v>64</v>
      </c>
      <c r="K201" s="8" t="n">
        <v>1</v>
      </c>
      <c r="L201" s="12" t="n">
        <v>738.86</v>
      </c>
      <c r="M201" s="13" t="n">
        <v>0.2</v>
      </c>
      <c r="N201" s="12" t="n">
        <v>591.09</v>
      </c>
      <c r="O201" s="12" t="n">
        <v>52.4</v>
      </c>
      <c r="P201" s="8" t="str">
        <f aca="false">TEXT(B201,"mmm-yyyy")</f>
        <v>Sep-2023</v>
      </c>
      <c r="Q201" s="14" t="n">
        <f aca="false">IFERROR(O201/N201,"")</f>
        <v>0.0886497826050178</v>
      </c>
      <c r="R201" s="8" t="str">
        <f aca="false">IF(OR(N201&gt;$U$3,N201&lt;$U$2),"Sales Outlier",IF(OR(O201&gt;$U$6,O201&lt;$U$4),"Profit Outlier",""))</f>
        <v/>
      </c>
    </row>
    <row r="202" customFormat="false" ht="15" hidden="false" customHeight="true" outlineLevel="0" collapsed="false">
      <c r="A202" s="8" t="s">
        <v>1949</v>
      </c>
      <c r="B202" s="11" t="n">
        <v>45181</v>
      </c>
      <c r="C202" s="11" t="n">
        <v>45182</v>
      </c>
      <c r="D202" s="8" t="s">
        <v>1952</v>
      </c>
      <c r="E202" s="8" t="s">
        <v>34</v>
      </c>
      <c r="F202" s="8" t="s">
        <v>126</v>
      </c>
      <c r="G202" s="8" t="s">
        <v>26</v>
      </c>
      <c r="H202" s="8" t="s">
        <v>45</v>
      </c>
      <c r="I202" s="8" t="s">
        <v>160</v>
      </c>
      <c r="J202" s="8" t="s">
        <v>47</v>
      </c>
      <c r="K202" s="8" t="n">
        <v>3</v>
      </c>
      <c r="L202" s="12" t="n">
        <v>955.03</v>
      </c>
      <c r="M202" s="13" t="n">
        <v>0</v>
      </c>
      <c r="N202" s="12" t="n">
        <v>2865.09</v>
      </c>
      <c r="O202" s="12" t="n">
        <v>912.74</v>
      </c>
      <c r="P202" s="8" t="str">
        <f aca="false">TEXT(B202,"mmm-yyyy")</f>
        <v>Sep-2023</v>
      </c>
      <c r="Q202" s="14" t="n">
        <f aca="false">IFERROR(O202/N202,"")</f>
        <v>0.318572889507834</v>
      </c>
      <c r="R202" s="8" t="str">
        <f aca="false">IF(OR(N202&gt;$U$3,N202&lt;$U$2),"Sales Outlier",IF(OR(O202&gt;$U$6,O202&lt;$U$4),"Profit Outlier",""))</f>
        <v/>
      </c>
    </row>
    <row r="203" customFormat="false" ht="15" hidden="false" customHeight="true" outlineLevel="0" collapsed="false">
      <c r="A203" s="8" t="s">
        <v>790</v>
      </c>
      <c r="B203" s="11" t="n">
        <v>45183</v>
      </c>
      <c r="C203" s="11" t="n">
        <v>45185</v>
      </c>
      <c r="D203" s="8" t="s">
        <v>793</v>
      </c>
      <c r="E203" s="8" t="s">
        <v>52</v>
      </c>
      <c r="F203" s="8" t="s">
        <v>154</v>
      </c>
      <c r="G203" s="8" t="s">
        <v>182</v>
      </c>
      <c r="H203" s="8" t="s">
        <v>37</v>
      </c>
      <c r="I203" s="8" t="s">
        <v>143</v>
      </c>
      <c r="J203" s="8" t="s">
        <v>29</v>
      </c>
      <c r="K203" s="8" t="n">
        <v>1</v>
      </c>
      <c r="L203" s="12" t="n">
        <v>1138.56</v>
      </c>
      <c r="M203" s="13" t="n">
        <v>0.1</v>
      </c>
      <c r="N203" s="12" t="n">
        <v>1024.7</v>
      </c>
      <c r="O203" s="12" t="n">
        <v>-73.12</v>
      </c>
      <c r="P203" s="8" t="str">
        <f aca="false">TEXT(B203,"mmm-yyyy")</f>
        <v>Sep-2023</v>
      </c>
      <c r="Q203" s="14" t="n">
        <f aca="false">IFERROR(O203/N203,"")</f>
        <v>-0.0713574704791646</v>
      </c>
      <c r="R203" s="8" t="str">
        <f aca="false">IF(OR(N203&gt;$U$3,N203&lt;$U$2),"Sales Outlier",IF(OR(O203&gt;$U$6,O203&lt;$U$4),"Profit Outlier",""))</f>
        <v/>
      </c>
    </row>
    <row r="204" customFormat="false" ht="15" hidden="false" customHeight="true" outlineLevel="0" collapsed="false">
      <c r="A204" s="8" t="s">
        <v>597</v>
      </c>
      <c r="B204" s="11" t="n">
        <v>45190</v>
      </c>
      <c r="C204" s="11" t="n">
        <v>45196</v>
      </c>
      <c r="D204" s="8" t="s">
        <v>600</v>
      </c>
      <c r="E204" s="8" t="s">
        <v>34</v>
      </c>
      <c r="F204" s="8" t="s">
        <v>61</v>
      </c>
      <c r="G204" s="8" t="s">
        <v>76</v>
      </c>
      <c r="H204" s="8" t="s">
        <v>37</v>
      </c>
      <c r="I204" s="8" t="s">
        <v>404</v>
      </c>
      <c r="J204" s="8" t="s">
        <v>64</v>
      </c>
      <c r="K204" s="8" t="n">
        <v>5</v>
      </c>
      <c r="L204" s="12" t="n">
        <v>31.75</v>
      </c>
      <c r="M204" s="13" t="n">
        <v>0</v>
      </c>
      <c r="N204" s="12" t="n">
        <v>158.75</v>
      </c>
      <c r="O204" s="12" t="n">
        <v>24.91</v>
      </c>
      <c r="P204" s="8" t="str">
        <f aca="false">TEXT(B204,"mmm-yyyy")</f>
        <v>Sep-2023</v>
      </c>
      <c r="Q204" s="14" t="n">
        <f aca="false">IFERROR(O204/N204,"")</f>
        <v>0.156913385826772</v>
      </c>
      <c r="R204" s="8" t="str">
        <f aca="false">IF(OR(N204&gt;$U$3,N204&lt;$U$2),"Sales Outlier",IF(OR(O204&gt;$U$6,O204&lt;$U$4),"Profit Outlier",""))</f>
        <v/>
      </c>
    </row>
    <row r="205" customFormat="false" ht="15" hidden="false" customHeight="true" outlineLevel="0" collapsed="false">
      <c r="A205" s="8" t="s">
        <v>654</v>
      </c>
      <c r="B205" s="11" t="n">
        <v>45191</v>
      </c>
      <c r="C205" s="11" t="n">
        <v>45197</v>
      </c>
      <c r="D205" s="8" t="s">
        <v>2297</v>
      </c>
      <c r="E205" s="8" t="s">
        <v>24</v>
      </c>
      <c r="F205" s="8" t="s">
        <v>126</v>
      </c>
      <c r="G205" s="8" t="s">
        <v>82</v>
      </c>
      <c r="H205" s="8" t="s">
        <v>114</v>
      </c>
      <c r="I205" s="8" t="s">
        <v>297</v>
      </c>
      <c r="J205" s="8" t="s">
        <v>39</v>
      </c>
      <c r="K205" s="8" t="n">
        <v>4</v>
      </c>
      <c r="L205" s="12" t="n">
        <v>416.38</v>
      </c>
      <c r="M205" s="13" t="n">
        <v>0</v>
      </c>
      <c r="N205" s="12" t="n">
        <v>1665.52</v>
      </c>
      <c r="O205" s="12" t="n">
        <v>318.65</v>
      </c>
      <c r="P205" s="8" t="str">
        <f aca="false">TEXT(B205,"mmm-yyyy")</f>
        <v>Sep-2023</v>
      </c>
      <c r="Q205" s="14" t="n">
        <f aca="false">IFERROR(O205/N205,"")</f>
        <v>0.191321629280945</v>
      </c>
      <c r="R205" s="8" t="str">
        <f aca="false">IF(OR(N205&gt;$U$3,N205&lt;$U$2),"Sales Outlier",IF(OR(O205&gt;$U$6,O205&lt;$U$4),"Profit Outlier",""))</f>
        <v/>
      </c>
    </row>
    <row r="206" customFormat="false" ht="15" hidden="false" customHeight="true" outlineLevel="0" collapsed="false">
      <c r="A206" s="8" t="s">
        <v>1484</v>
      </c>
      <c r="B206" s="11" t="n">
        <v>45191</v>
      </c>
      <c r="C206" s="11" t="n">
        <v>45195</v>
      </c>
      <c r="D206" s="8" t="s">
        <v>395</v>
      </c>
      <c r="E206" s="8" t="s">
        <v>24</v>
      </c>
      <c r="F206" s="8" t="s">
        <v>126</v>
      </c>
      <c r="G206" s="8" t="s">
        <v>26</v>
      </c>
      <c r="H206" s="8" t="s">
        <v>132</v>
      </c>
      <c r="I206" s="8" t="s">
        <v>220</v>
      </c>
      <c r="J206" s="8" t="s">
        <v>64</v>
      </c>
      <c r="K206" s="8" t="n">
        <v>2</v>
      </c>
      <c r="L206" s="12" t="n">
        <v>498.32</v>
      </c>
      <c r="M206" s="13" t="n">
        <v>0.1</v>
      </c>
      <c r="N206" s="12" t="n">
        <v>896.98</v>
      </c>
      <c r="O206" s="12" t="n">
        <v>115.6</v>
      </c>
      <c r="P206" s="8" t="str">
        <f aca="false">TEXT(B206,"mmm-yyyy")</f>
        <v>Sep-2023</v>
      </c>
      <c r="Q206" s="14" t="n">
        <f aca="false">IFERROR(O206/N206,"")</f>
        <v>0.128876898035631</v>
      </c>
      <c r="R206" s="8" t="str">
        <f aca="false">IF(OR(N206&gt;$U$3,N206&lt;$U$2),"Sales Outlier",IF(OR(O206&gt;$U$6,O206&lt;$U$4),"Profit Outlier",""))</f>
        <v/>
      </c>
    </row>
    <row r="207" customFormat="false" ht="15" hidden="false" customHeight="true" outlineLevel="0" collapsed="false">
      <c r="A207" s="8" t="s">
        <v>1127</v>
      </c>
      <c r="B207" s="11" t="n">
        <v>45192</v>
      </c>
      <c r="C207" s="11" t="n">
        <v>45195</v>
      </c>
      <c r="D207" s="8" t="s">
        <v>2282</v>
      </c>
      <c r="E207" s="8" t="s">
        <v>52</v>
      </c>
      <c r="F207" s="8" t="s">
        <v>61</v>
      </c>
      <c r="G207" s="8" t="s">
        <v>36</v>
      </c>
      <c r="H207" s="8" t="s">
        <v>132</v>
      </c>
      <c r="I207" s="8" t="s">
        <v>63</v>
      </c>
      <c r="J207" s="8" t="s">
        <v>47</v>
      </c>
      <c r="K207" s="8" t="n">
        <v>2</v>
      </c>
      <c r="L207" s="12" t="n">
        <v>77.67</v>
      </c>
      <c r="M207" s="13" t="n">
        <v>0</v>
      </c>
      <c r="N207" s="12" t="n">
        <v>155.34</v>
      </c>
      <c r="O207" s="12" t="n">
        <v>34.68</v>
      </c>
      <c r="P207" s="8" t="str">
        <f aca="false">TEXT(B207,"mmm-yyyy")</f>
        <v>Sep-2023</v>
      </c>
      <c r="Q207" s="14" t="n">
        <f aca="false">IFERROR(O207/N207,"")</f>
        <v>0.223252220934724</v>
      </c>
      <c r="R207" s="8" t="str">
        <f aca="false">IF(OR(N207&gt;$U$3,N207&lt;$U$2),"Sales Outlier",IF(OR(O207&gt;$U$6,O207&lt;$U$4),"Profit Outlier",""))</f>
        <v/>
      </c>
    </row>
    <row r="208" customFormat="false" ht="15" hidden="false" customHeight="true" outlineLevel="0" collapsed="false">
      <c r="A208" s="8" t="s">
        <v>1345</v>
      </c>
      <c r="B208" s="11" t="n">
        <v>45194</v>
      </c>
      <c r="C208" s="11" t="n">
        <v>45196</v>
      </c>
      <c r="D208" s="8" t="s">
        <v>1020</v>
      </c>
      <c r="E208" s="8" t="s">
        <v>24</v>
      </c>
      <c r="F208" s="8" t="s">
        <v>154</v>
      </c>
      <c r="G208" s="8" t="s">
        <v>102</v>
      </c>
      <c r="H208" s="8" t="s">
        <v>45</v>
      </c>
      <c r="I208" s="8" t="s">
        <v>28</v>
      </c>
      <c r="J208" s="8" t="s">
        <v>39</v>
      </c>
      <c r="K208" s="8" t="n">
        <v>2</v>
      </c>
      <c r="L208" s="12" t="n">
        <v>540.96</v>
      </c>
      <c r="M208" s="13" t="n">
        <v>0</v>
      </c>
      <c r="N208" s="12" t="n">
        <v>1081.92</v>
      </c>
      <c r="O208" s="12" t="n">
        <v>-87.55</v>
      </c>
      <c r="P208" s="8" t="str">
        <f aca="false">TEXT(B208,"mmm-yyyy")</f>
        <v>Sep-2023</v>
      </c>
      <c r="Q208" s="14" t="n">
        <f aca="false">IFERROR(O208/N208,"")</f>
        <v>-0.0809209553386572</v>
      </c>
      <c r="R208" s="8" t="str">
        <f aca="false">IF(OR(N208&gt;$U$3,N208&lt;$U$2),"Sales Outlier",IF(OR(O208&gt;$U$6,O208&lt;$U$4),"Profit Outlier",""))</f>
        <v/>
      </c>
    </row>
    <row r="209" customFormat="false" ht="15" hidden="false" customHeight="true" outlineLevel="0" collapsed="false">
      <c r="A209" s="8" t="s">
        <v>1940</v>
      </c>
      <c r="B209" s="11" t="n">
        <v>45196</v>
      </c>
      <c r="C209" s="11" t="n">
        <v>45201</v>
      </c>
      <c r="D209" s="8" t="s">
        <v>1941</v>
      </c>
      <c r="E209" s="8" t="s">
        <v>24</v>
      </c>
      <c r="F209" s="8" t="s">
        <v>126</v>
      </c>
      <c r="G209" s="8" t="s">
        <v>82</v>
      </c>
      <c r="H209" s="8" t="s">
        <v>114</v>
      </c>
      <c r="I209" s="8" t="s">
        <v>297</v>
      </c>
      <c r="J209" s="8" t="s">
        <v>47</v>
      </c>
      <c r="K209" s="8" t="n">
        <v>1</v>
      </c>
      <c r="L209" s="12" t="n">
        <v>1144.81</v>
      </c>
      <c r="M209" s="13" t="n">
        <v>0</v>
      </c>
      <c r="N209" s="12" t="n">
        <v>1144.81</v>
      </c>
      <c r="O209" s="12" t="n">
        <v>78.15</v>
      </c>
      <c r="P209" s="8" t="str">
        <f aca="false">TEXT(B209,"mmm-yyyy")</f>
        <v>Sep-2023</v>
      </c>
      <c r="Q209" s="14" t="n">
        <f aca="false">IFERROR(O209/N209,"")</f>
        <v>0.0682646028598632</v>
      </c>
      <c r="R209" s="8" t="str">
        <f aca="false">IF(OR(N209&gt;$U$3,N209&lt;$U$2),"Sales Outlier",IF(OR(O209&gt;$U$6,O209&lt;$U$4),"Profit Outlier",""))</f>
        <v/>
      </c>
    </row>
    <row r="210" customFormat="false" ht="15" hidden="false" customHeight="true" outlineLevel="0" collapsed="false">
      <c r="A210" s="8" t="s">
        <v>1924</v>
      </c>
      <c r="B210" s="11" t="n">
        <v>45197</v>
      </c>
      <c r="C210" s="11" t="n">
        <v>45200</v>
      </c>
      <c r="D210" s="8" t="s">
        <v>468</v>
      </c>
      <c r="E210" s="8" t="s">
        <v>2285</v>
      </c>
      <c r="F210" s="8" t="s">
        <v>147</v>
      </c>
      <c r="G210" s="8" t="s">
        <v>54</v>
      </c>
      <c r="H210" s="8" t="s">
        <v>37</v>
      </c>
      <c r="I210" s="8" t="s">
        <v>527</v>
      </c>
      <c r="J210" s="8" t="s">
        <v>29</v>
      </c>
      <c r="K210" s="8" t="n">
        <v>3</v>
      </c>
      <c r="L210" s="12" t="n">
        <v>324.79</v>
      </c>
      <c r="M210" s="13" t="n">
        <v>0</v>
      </c>
      <c r="N210" s="12" t="n">
        <v>974.37</v>
      </c>
      <c r="O210" s="12" t="n">
        <v>-90.63</v>
      </c>
      <c r="P210" s="8" t="str">
        <f aca="false">TEXT(B210,"mmm-yyyy")</f>
        <v>Sep-2023</v>
      </c>
      <c r="Q210" s="14" t="n">
        <f aca="false">IFERROR(O210/N210,"")</f>
        <v>-0.0930139474737523</v>
      </c>
      <c r="R210" s="8" t="str">
        <f aca="false">IF(OR(N210&gt;$U$3,N210&lt;$U$2),"Sales Outlier",IF(OR(O210&gt;$U$6,O210&lt;$U$4),"Profit Outlier",""))</f>
        <v/>
      </c>
    </row>
    <row r="211" customFormat="false" ht="15" hidden="false" customHeight="true" outlineLevel="0" collapsed="false">
      <c r="A211" s="8" t="s">
        <v>2077</v>
      </c>
      <c r="B211" s="11" t="n">
        <v>45201</v>
      </c>
      <c r="C211" s="11" t="n">
        <v>44971</v>
      </c>
      <c r="D211" s="8" t="s">
        <v>2298</v>
      </c>
      <c r="E211" s="8" t="s">
        <v>34</v>
      </c>
      <c r="F211" s="8" t="s">
        <v>61</v>
      </c>
      <c r="G211" s="8" t="s">
        <v>36</v>
      </c>
      <c r="H211" s="8" t="s">
        <v>77</v>
      </c>
      <c r="I211" s="8" t="s">
        <v>127</v>
      </c>
      <c r="J211" s="8" t="s">
        <v>64</v>
      </c>
      <c r="K211" s="8" t="n">
        <v>2</v>
      </c>
      <c r="L211" s="12" t="n">
        <v>528.12</v>
      </c>
      <c r="M211" s="13" t="n">
        <v>0.2</v>
      </c>
      <c r="N211" s="12" t="n">
        <v>422.5</v>
      </c>
      <c r="O211" s="12" t="n">
        <v>113.92</v>
      </c>
      <c r="P211" s="8" t="str">
        <f aca="false">TEXT(B211,"mmm-yyyy")</f>
        <v>Oct-2023</v>
      </c>
      <c r="Q211" s="14" t="n">
        <f aca="false">IFERROR(O211/N211,"")</f>
        <v>0.269633136094675</v>
      </c>
      <c r="R211" s="8" t="str">
        <f aca="false">IF(OR(N211&gt;$U$3,N211&lt;$U$2),"Sales Outlier",IF(OR(O211&gt;$U$6,O211&lt;$U$4),"Profit Outlier",""))</f>
        <v/>
      </c>
    </row>
    <row r="212" customFormat="false" ht="15" hidden="false" customHeight="true" outlineLevel="0" collapsed="false">
      <c r="A212" s="8" t="s">
        <v>1032</v>
      </c>
      <c r="B212" s="11" t="n">
        <v>45201</v>
      </c>
      <c r="C212" s="11" t="n">
        <v>45205</v>
      </c>
      <c r="D212" s="8" t="s">
        <v>1035</v>
      </c>
      <c r="E212" s="8" t="s">
        <v>24</v>
      </c>
      <c r="F212" s="8" t="s">
        <v>126</v>
      </c>
      <c r="G212" s="8" t="s">
        <v>89</v>
      </c>
      <c r="H212" s="8" t="s">
        <v>77</v>
      </c>
      <c r="I212" s="8" t="s">
        <v>425</v>
      </c>
      <c r="J212" s="8" t="s">
        <v>39</v>
      </c>
      <c r="K212" s="8" t="n">
        <v>5</v>
      </c>
      <c r="L212" s="12" t="n">
        <v>481.42</v>
      </c>
      <c r="M212" s="13" t="n">
        <v>0</v>
      </c>
      <c r="N212" s="12" t="n">
        <v>2407.1</v>
      </c>
      <c r="O212" s="12" t="n">
        <v>-17.35</v>
      </c>
      <c r="P212" s="8" t="str">
        <f aca="false">TEXT(B212,"mmm-yyyy")</f>
        <v>Oct-2023</v>
      </c>
      <c r="Q212" s="14" t="n">
        <f aca="false">IFERROR(O212/N212,"")</f>
        <v>-0.00720784346308837</v>
      </c>
      <c r="R212" s="8" t="str">
        <f aca="false">IF(OR(N212&gt;$U$3,N212&lt;$U$2),"Sales Outlier",IF(OR(O212&gt;$U$6,O212&lt;$U$4),"Profit Outlier",""))</f>
        <v/>
      </c>
    </row>
    <row r="213" customFormat="false" ht="15" hidden="false" customHeight="true" outlineLevel="0" collapsed="false">
      <c r="A213" s="8" t="s">
        <v>932</v>
      </c>
      <c r="B213" s="11" t="n">
        <v>45202</v>
      </c>
      <c r="C213" s="11" t="n">
        <v>45207</v>
      </c>
      <c r="D213" s="8" t="s">
        <v>935</v>
      </c>
      <c r="E213" s="8" t="s">
        <v>24</v>
      </c>
      <c r="F213" s="8" t="s">
        <v>147</v>
      </c>
      <c r="G213" s="8" t="s">
        <v>326</v>
      </c>
      <c r="H213" s="8" t="s">
        <v>114</v>
      </c>
      <c r="I213" s="8" t="s">
        <v>201</v>
      </c>
      <c r="J213" s="8" t="s">
        <v>64</v>
      </c>
      <c r="K213" s="8" t="n">
        <v>1</v>
      </c>
      <c r="L213" s="12" t="n">
        <v>508.08</v>
      </c>
      <c r="M213" s="13" t="n">
        <v>0</v>
      </c>
      <c r="N213" s="12" t="n">
        <v>508.08</v>
      </c>
      <c r="O213" s="12" t="n">
        <v>121.09</v>
      </c>
      <c r="P213" s="8" t="str">
        <f aca="false">TEXT(B213,"mmm-yyyy")</f>
        <v>Oct-2023</v>
      </c>
      <c r="Q213" s="14" t="n">
        <f aca="false">IFERROR(O213/N213,"")</f>
        <v>0.238328609667769</v>
      </c>
      <c r="R213" s="8" t="str">
        <f aca="false">IF(OR(N213&gt;$U$3,N213&lt;$U$2),"Sales Outlier",IF(OR(O213&gt;$U$6,O213&lt;$U$4),"Profit Outlier",""))</f>
        <v/>
      </c>
    </row>
    <row r="214" customFormat="false" ht="15" hidden="false" customHeight="true" outlineLevel="0" collapsed="false">
      <c r="A214" s="8" t="s">
        <v>1072</v>
      </c>
      <c r="B214" s="11" t="n">
        <v>45202</v>
      </c>
      <c r="C214" s="11" t="n">
        <v>45208</v>
      </c>
      <c r="D214" s="8" t="s">
        <v>1074</v>
      </c>
      <c r="E214" s="8" t="s">
        <v>34</v>
      </c>
      <c r="F214" s="8" t="s">
        <v>61</v>
      </c>
      <c r="G214" s="8" t="s">
        <v>62</v>
      </c>
      <c r="H214" s="8" t="s">
        <v>114</v>
      </c>
      <c r="I214" s="8" t="s">
        <v>297</v>
      </c>
      <c r="J214" s="8" t="s">
        <v>64</v>
      </c>
      <c r="K214" s="8" t="n">
        <v>2</v>
      </c>
      <c r="L214" s="12" t="n">
        <v>174.9</v>
      </c>
      <c r="M214" s="13" t="n">
        <v>0</v>
      </c>
      <c r="N214" s="12" t="n">
        <v>174.9</v>
      </c>
      <c r="O214" s="12" t="n">
        <v>23.09</v>
      </c>
      <c r="P214" s="8" t="str">
        <f aca="false">TEXT(B214,"mmm-yyyy")</f>
        <v>Oct-2023</v>
      </c>
      <c r="Q214" s="14" t="n">
        <f aca="false">IFERROR(O214/N214,"")</f>
        <v>0.13201829616924</v>
      </c>
      <c r="R214" s="8" t="str">
        <f aca="false">IF(OR(N214&gt;$U$3,N214&lt;$U$2),"Sales Outlier",IF(OR(O214&gt;$U$6,O214&lt;$U$4),"Profit Outlier",""))</f>
        <v/>
      </c>
    </row>
    <row r="215" customFormat="false" ht="15" hidden="false" customHeight="true" outlineLevel="0" collapsed="false">
      <c r="A215" s="8" t="s">
        <v>1151</v>
      </c>
      <c r="B215" s="11" t="n">
        <v>45204</v>
      </c>
      <c r="C215" s="11" t="n">
        <v>45205</v>
      </c>
      <c r="D215" s="8" t="s">
        <v>1153</v>
      </c>
      <c r="E215" s="8" t="s">
        <v>52</v>
      </c>
      <c r="F215" s="8" t="s">
        <v>154</v>
      </c>
      <c r="G215" s="8" t="s">
        <v>119</v>
      </c>
      <c r="H215" s="8" t="s">
        <v>132</v>
      </c>
      <c r="I215" s="8" t="s">
        <v>220</v>
      </c>
      <c r="J215" s="8" t="s">
        <v>29</v>
      </c>
      <c r="K215" s="8" t="n">
        <v>2</v>
      </c>
      <c r="L215" s="12" t="n">
        <v>948.08</v>
      </c>
      <c r="M215" s="13" t="n">
        <v>0.2</v>
      </c>
      <c r="N215" s="12" t="n">
        <v>1516.93</v>
      </c>
      <c r="O215" s="12" t="n">
        <v>-138.67</v>
      </c>
      <c r="P215" s="8" t="str">
        <f aca="false">TEXT(B215,"mmm-yyyy")</f>
        <v>Oct-2023</v>
      </c>
      <c r="Q215" s="14" t="n">
        <f aca="false">IFERROR(O215/N215,"")</f>
        <v>-0.0914148971936741</v>
      </c>
      <c r="R215" s="8" t="str">
        <f aca="false">IF(OR(N215&gt;$U$3,N215&lt;$U$2),"Sales Outlier",IF(OR(O215&gt;$U$6,O215&lt;$U$4),"Profit Outlier",""))</f>
        <v/>
      </c>
    </row>
    <row r="216" customFormat="false" ht="15" hidden="false" customHeight="true" outlineLevel="0" collapsed="false">
      <c r="A216" s="8" t="s">
        <v>421</v>
      </c>
      <c r="B216" s="11" t="n">
        <v>45204</v>
      </c>
      <c r="C216" s="11" t="n">
        <v>45209</v>
      </c>
      <c r="D216" s="8" t="s">
        <v>1095</v>
      </c>
      <c r="E216" s="8" t="s">
        <v>24</v>
      </c>
      <c r="F216" s="8" t="s">
        <v>61</v>
      </c>
      <c r="G216" s="8" t="s">
        <v>36</v>
      </c>
      <c r="H216" s="8" t="s">
        <v>77</v>
      </c>
      <c r="I216" s="8" t="s">
        <v>425</v>
      </c>
      <c r="J216" s="8" t="s">
        <v>39</v>
      </c>
      <c r="K216" s="8" t="n">
        <v>2</v>
      </c>
      <c r="L216" s="12" t="n">
        <v>251.36</v>
      </c>
      <c r="M216" s="13" t="n">
        <v>0</v>
      </c>
      <c r="N216" s="12" t="n">
        <v>502.72</v>
      </c>
      <c r="O216" s="12" t="n">
        <v>62.81</v>
      </c>
      <c r="P216" s="8" t="str">
        <f aca="false">TEXT(B216,"mmm-yyyy")</f>
        <v>Oct-2023</v>
      </c>
      <c r="Q216" s="14" t="n">
        <f aca="false">IFERROR(O216/N216,"")</f>
        <v>0.124940324633991</v>
      </c>
      <c r="R216" s="8" t="str">
        <f aca="false">IF(OR(N216&gt;$U$3,N216&lt;$U$2),"Sales Outlier",IF(OR(O216&gt;$U$6,O216&lt;$U$4),"Profit Outlier",""))</f>
        <v/>
      </c>
    </row>
    <row r="217" customFormat="false" ht="15" hidden="false" customHeight="true" outlineLevel="0" collapsed="false">
      <c r="A217" s="8" t="s">
        <v>477</v>
      </c>
      <c r="B217" s="11" t="n">
        <v>45206</v>
      </c>
      <c r="C217" s="11" t="n">
        <v>45208</v>
      </c>
      <c r="D217" s="8" t="s">
        <v>1809</v>
      </c>
      <c r="E217" s="8" t="s">
        <v>24</v>
      </c>
      <c r="F217" s="8" t="s">
        <v>147</v>
      </c>
      <c r="G217" s="8" t="s">
        <v>215</v>
      </c>
      <c r="H217" s="8" t="s">
        <v>37</v>
      </c>
      <c r="I217" s="8" t="s">
        <v>143</v>
      </c>
      <c r="J217" s="8" t="s">
        <v>47</v>
      </c>
      <c r="K217" s="8" t="n">
        <v>4</v>
      </c>
      <c r="L217" s="12" t="n">
        <v>1091.55</v>
      </c>
      <c r="M217" s="13" t="n">
        <v>0</v>
      </c>
      <c r="N217" s="12" t="n">
        <v>4366.2</v>
      </c>
      <c r="O217" s="12" t="n">
        <v>993.15</v>
      </c>
      <c r="P217" s="8" t="str">
        <f aca="false">TEXT(B217,"mmm-yyyy")</f>
        <v>Oct-2023</v>
      </c>
      <c r="Q217" s="14" t="n">
        <f aca="false">IFERROR(O217/N217,"")</f>
        <v>0.227463240346297</v>
      </c>
      <c r="R217" s="8" t="str">
        <f aca="false">IF(OR(N217&gt;$U$3,N217&lt;$U$2),"Sales Outlier",IF(OR(O217&gt;$U$6,O217&lt;$U$4),"Profit Outlier",""))</f>
        <v/>
      </c>
    </row>
    <row r="218" customFormat="false" ht="15" hidden="false" customHeight="true" outlineLevel="0" collapsed="false">
      <c r="A218" s="8" t="s">
        <v>187</v>
      </c>
      <c r="B218" s="11" t="n">
        <v>45208</v>
      </c>
      <c r="C218" s="11" t="n">
        <v>45212</v>
      </c>
      <c r="D218" s="8" t="s">
        <v>190</v>
      </c>
      <c r="E218" s="8" t="s">
        <v>24</v>
      </c>
      <c r="F218" s="8" t="s">
        <v>147</v>
      </c>
      <c r="G218" s="8" t="s">
        <v>54</v>
      </c>
      <c r="H218" s="8" t="s">
        <v>77</v>
      </c>
      <c r="I218" s="8" t="s">
        <v>127</v>
      </c>
      <c r="J218" s="8" t="s">
        <v>47</v>
      </c>
      <c r="K218" s="8" t="n">
        <v>4</v>
      </c>
      <c r="L218" s="12" t="n">
        <v>593.35</v>
      </c>
      <c r="M218" s="13" t="n">
        <v>0.2</v>
      </c>
      <c r="N218" s="12" t="n">
        <v>1898.72</v>
      </c>
      <c r="O218" s="12" t="n">
        <v>259.33</v>
      </c>
      <c r="P218" s="8" t="str">
        <f aca="false">TEXT(B218,"mmm-yyyy")</f>
        <v>Oct-2023</v>
      </c>
      <c r="Q218" s="14" t="n">
        <f aca="false">IFERROR(O218/N218,"")</f>
        <v>0.136581486475099</v>
      </c>
      <c r="R218" s="8" t="str">
        <f aca="false">IF(OR(N218&gt;$U$3,N218&lt;$U$2),"Sales Outlier",IF(OR(O218&gt;$U$6,O218&lt;$U$4),"Profit Outlier",""))</f>
        <v/>
      </c>
    </row>
    <row r="219" customFormat="false" ht="15" hidden="false" customHeight="true" outlineLevel="0" collapsed="false">
      <c r="A219" s="8" t="s">
        <v>999</v>
      </c>
      <c r="B219" s="11" t="n">
        <v>45208</v>
      </c>
      <c r="C219" s="11" t="n">
        <v>45213</v>
      </c>
      <c r="D219" s="8" t="s">
        <v>736</v>
      </c>
      <c r="E219" s="8" t="s">
        <v>34</v>
      </c>
      <c r="F219" s="8" t="s">
        <v>126</v>
      </c>
      <c r="G219" s="8" t="s">
        <v>26</v>
      </c>
      <c r="H219" s="8" t="s">
        <v>132</v>
      </c>
      <c r="I219" s="8" t="s">
        <v>104</v>
      </c>
      <c r="J219" s="8" t="s">
        <v>29</v>
      </c>
      <c r="K219" s="8" t="n">
        <v>2</v>
      </c>
      <c r="L219" s="12" t="n">
        <v>759.51</v>
      </c>
      <c r="M219" s="13" t="n">
        <v>0</v>
      </c>
      <c r="N219" s="12" t="n">
        <v>759.51</v>
      </c>
      <c r="O219" s="12" t="n">
        <v>208.31</v>
      </c>
      <c r="P219" s="8" t="str">
        <f aca="false">TEXT(B219,"mmm-yyyy")</f>
        <v>Oct-2023</v>
      </c>
      <c r="Q219" s="14" t="n">
        <f aca="false">IFERROR(O219/N219,"")</f>
        <v>0.274268936551198</v>
      </c>
      <c r="R219" s="8" t="str">
        <f aca="false">IF(OR(N219&gt;$U$3,N219&lt;$U$2),"Sales Outlier",IF(OR(O219&gt;$U$6,O219&lt;$U$4),"Profit Outlier",""))</f>
        <v/>
      </c>
    </row>
    <row r="220" customFormat="false" ht="15" hidden="false" customHeight="true" outlineLevel="0" collapsed="false">
      <c r="A220" s="8" t="s">
        <v>446</v>
      </c>
      <c r="B220" s="11" t="n">
        <v>45208</v>
      </c>
      <c r="C220" s="11" t="n">
        <v>45214</v>
      </c>
      <c r="D220" s="8" t="s">
        <v>2299</v>
      </c>
      <c r="E220" s="8" t="s">
        <v>34</v>
      </c>
      <c r="F220" s="8" t="s">
        <v>147</v>
      </c>
      <c r="G220" s="8" t="s">
        <v>326</v>
      </c>
      <c r="H220" s="8" t="s">
        <v>45</v>
      </c>
      <c r="I220" s="8" t="s">
        <v>46</v>
      </c>
      <c r="J220" s="8" t="s">
        <v>39</v>
      </c>
      <c r="K220" s="8" t="n">
        <v>1</v>
      </c>
      <c r="L220" s="12" t="n">
        <v>604.98</v>
      </c>
      <c r="M220" s="13" t="n">
        <v>0.15</v>
      </c>
      <c r="N220" s="12" t="n">
        <v>514.23</v>
      </c>
      <c r="O220" s="12" t="n">
        <v>68.15</v>
      </c>
      <c r="P220" s="8" t="str">
        <f aca="false">TEXT(B220,"mmm-yyyy")</f>
        <v>Oct-2023</v>
      </c>
      <c r="Q220" s="14" t="n">
        <f aca="false">IFERROR(O220/N220,"")</f>
        <v>0.132528246115551</v>
      </c>
      <c r="R220" s="8" t="str">
        <f aca="false">IF(OR(N220&gt;$U$3,N220&lt;$U$2),"Sales Outlier",IF(OR(O220&gt;$U$6,O220&lt;$U$4),"Profit Outlier",""))</f>
        <v/>
      </c>
    </row>
    <row r="221" customFormat="false" ht="15" hidden="false" customHeight="true" outlineLevel="0" collapsed="false">
      <c r="A221" s="8" t="s">
        <v>1837</v>
      </c>
      <c r="B221" s="11" t="n">
        <v>45208</v>
      </c>
      <c r="C221" s="11" t="n">
        <v>45214</v>
      </c>
      <c r="D221" s="8" t="s">
        <v>1035</v>
      </c>
      <c r="E221" s="8" t="s">
        <v>34</v>
      </c>
      <c r="F221" s="8" t="s">
        <v>154</v>
      </c>
      <c r="G221" s="8" t="s">
        <v>119</v>
      </c>
      <c r="H221" s="8" t="s">
        <v>132</v>
      </c>
      <c r="I221" s="8" t="s">
        <v>241</v>
      </c>
      <c r="J221" s="8" t="s">
        <v>64</v>
      </c>
      <c r="K221" s="8" t="n">
        <v>5</v>
      </c>
      <c r="L221" s="12" t="n">
        <v>1051.75</v>
      </c>
      <c r="M221" s="13" t="n">
        <v>0</v>
      </c>
      <c r="N221" s="12" t="n">
        <v>5258.75</v>
      </c>
      <c r="O221" s="12" t="n">
        <v>701.41</v>
      </c>
      <c r="P221" s="8" t="str">
        <f aca="false">TEXT(B221,"mmm-yyyy")</f>
        <v>Oct-2023</v>
      </c>
      <c r="Q221" s="14" t="n">
        <f aca="false">IFERROR(O221/N221,"")</f>
        <v>0.133379605419539</v>
      </c>
      <c r="R221" s="8" t="str">
        <f aca="false">IF(OR(N221&gt;$U$3,N221&lt;$U$2),"Sales Outlier",IF(OR(O221&gt;$U$6,O221&lt;$U$4),"Profit Outlier",""))</f>
        <v/>
      </c>
    </row>
    <row r="222" customFormat="false" ht="15" hidden="false" customHeight="true" outlineLevel="0" collapsed="false">
      <c r="A222" s="8" t="s">
        <v>946</v>
      </c>
      <c r="B222" s="11" t="n">
        <v>45209</v>
      </c>
      <c r="C222" s="11" t="n">
        <v>45215</v>
      </c>
      <c r="D222" s="8" t="s">
        <v>948</v>
      </c>
      <c r="E222" s="8" t="s">
        <v>34</v>
      </c>
      <c r="F222" s="8" t="s">
        <v>61</v>
      </c>
      <c r="G222" s="8" t="s">
        <v>62</v>
      </c>
      <c r="H222" s="8" t="s">
        <v>132</v>
      </c>
      <c r="I222" s="8" t="s">
        <v>104</v>
      </c>
      <c r="J222" s="8" t="s">
        <v>29</v>
      </c>
      <c r="K222" s="8" t="n">
        <v>5</v>
      </c>
      <c r="L222" s="12" t="n">
        <v>934.03</v>
      </c>
      <c r="M222" s="13" t="n">
        <v>0</v>
      </c>
      <c r="N222" s="12" t="n">
        <v>4670.15</v>
      </c>
      <c r="O222" s="12" t="n">
        <v>281.5</v>
      </c>
      <c r="P222" s="8" t="str">
        <f aca="false">TEXT(B222,"mmm-yyyy")</f>
        <v>Oct-2023</v>
      </c>
      <c r="Q222" s="14" t="n">
        <f aca="false">IFERROR(O222/N222,"")</f>
        <v>0.0602764365170284</v>
      </c>
      <c r="R222" s="8" t="str">
        <f aca="false">IF(OR(N222&gt;$U$3,N222&lt;$U$2),"Sales Outlier",IF(OR(O222&gt;$U$6,O222&lt;$U$4),"Profit Outlier",""))</f>
        <v/>
      </c>
    </row>
    <row r="223" customFormat="false" ht="15" hidden="false" customHeight="true" outlineLevel="0" collapsed="false">
      <c r="A223" s="8" t="s">
        <v>2014</v>
      </c>
      <c r="B223" s="11" t="n">
        <v>45209</v>
      </c>
      <c r="C223" s="11" t="n">
        <v>45214</v>
      </c>
      <c r="D223" s="8" t="s">
        <v>1952</v>
      </c>
      <c r="E223" s="8" t="s">
        <v>24</v>
      </c>
      <c r="F223" s="8" t="s">
        <v>126</v>
      </c>
      <c r="G223" s="8" t="s">
        <v>26</v>
      </c>
      <c r="H223" s="8" t="s">
        <v>114</v>
      </c>
      <c r="I223" s="8" t="s">
        <v>96</v>
      </c>
      <c r="J223" s="8" t="s">
        <v>47</v>
      </c>
      <c r="K223" s="8" t="n">
        <v>4</v>
      </c>
      <c r="L223" s="12" t="n">
        <v>83.17</v>
      </c>
      <c r="M223" s="13" t="n">
        <v>0</v>
      </c>
      <c r="N223" s="12" t="n">
        <v>332.68</v>
      </c>
      <c r="O223" s="12" t="n">
        <v>-1.05</v>
      </c>
      <c r="P223" s="8" t="str">
        <f aca="false">TEXT(B223,"mmm-yyyy")</f>
        <v>Oct-2023</v>
      </c>
      <c r="Q223" s="14" t="n">
        <f aca="false">IFERROR(O223/N223,"")</f>
        <v>-0.00315618612480462</v>
      </c>
      <c r="R223" s="8" t="str">
        <f aca="false">IF(OR(N223&gt;$U$3,N223&lt;$U$2),"Sales Outlier",IF(OR(O223&gt;$U$6,O223&lt;$U$4),"Profit Outlier",""))</f>
        <v/>
      </c>
    </row>
    <row r="224" customFormat="false" ht="15" hidden="false" customHeight="true" outlineLevel="0" collapsed="false">
      <c r="A224" s="8" t="s">
        <v>450</v>
      </c>
      <c r="B224" s="11" t="n">
        <v>45210</v>
      </c>
      <c r="C224" s="11" t="n">
        <v>45213</v>
      </c>
      <c r="D224" s="8" t="s">
        <v>452</v>
      </c>
      <c r="E224" s="8" t="s">
        <v>24</v>
      </c>
      <c r="F224" s="8" t="s">
        <v>126</v>
      </c>
      <c r="G224" s="8" t="s">
        <v>82</v>
      </c>
      <c r="H224" s="8" t="s">
        <v>132</v>
      </c>
      <c r="I224" s="8" t="s">
        <v>220</v>
      </c>
      <c r="J224" s="8" t="s">
        <v>64</v>
      </c>
      <c r="K224" s="8" t="n">
        <v>3</v>
      </c>
      <c r="L224" s="12" t="n">
        <v>770.51</v>
      </c>
      <c r="M224" s="13" t="n">
        <v>0</v>
      </c>
      <c r="N224" s="12" t="n">
        <v>2311.53</v>
      </c>
      <c r="O224" s="12" t="n">
        <v>606.65</v>
      </c>
      <c r="P224" s="8" t="str">
        <f aca="false">TEXT(B224,"mmm-yyyy")</f>
        <v>Oct-2023</v>
      </c>
      <c r="Q224" s="14" t="n">
        <f aca="false">IFERROR(O224/N224,"")</f>
        <v>0.262445220265365</v>
      </c>
      <c r="R224" s="8" t="str">
        <f aca="false">IF(OR(N224&gt;$U$3,N224&lt;$U$2),"Sales Outlier",IF(OR(O224&gt;$U$6,O224&lt;$U$4),"Profit Outlier",""))</f>
        <v/>
      </c>
    </row>
    <row r="225" customFormat="false" ht="15" hidden="false" customHeight="true" outlineLevel="0" collapsed="false">
      <c r="A225" s="8" t="s">
        <v>192</v>
      </c>
      <c r="B225" s="11" t="n">
        <v>45210</v>
      </c>
      <c r="C225" s="11" t="n">
        <v>45215</v>
      </c>
      <c r="D225" s="8" t="s">
        <v>195</v>
      </c>
      <c r="E225" s="8" t="s">
        <v>52</v>
      </c>
      <c r="F225" s="8" t="s">
        <v>126</v>
      </c>
      <c r="G225" s="8" t="s">
        <v>26</v>
      </c>
      <c r="H225" s="8" t="s">
        <v>45</v>
      </c>
      <c r="I225" s="8" t="s">
        <v>138</v>
      </c>
      <c r="J225" s="8" t="s">
        <v>64</v>
      </c>
      <c r="K225" s="8" t="n">
        <v>5</v>
      </c>
      <c r="L225" s="12" t="n">
        <v>75.01</v>
      </c>
      <c r="M225" s="13" t="n">
        <v>0</v>
      </c>
      <c r="N225" s="12" t="n">
        <v>375.05</v>
      </c>
      <c r="O225" s="12" t="n">
        <v>109.17</v>
      </c>
      <c r="P225" s="8" t="str">
        <f aca="false">TEXT(B225,"mmm-yyyy")</f>
        <v>Oct-2023</v>
      </c>
      <c r="Q225" s="14" t="n">
        <f aca="false">IFERROR(O225/N225,"")</f>
        <v>0.291081189174777</v>
      </c>
      <c r="R225" s="8" t="str">
        <f aca="false">IF(OR(N225&gt;$U$3,N225&lt;$U$2),"Sales Outlier",IF(OR(O225&gt;$U$6,O225&lt;$U$4),"Profit Outlier",""))</f>
        <v/>
      </c>
    </row>
    <row r="226" customFormat="false" ht="15" hidden="false" customHeight="true" outlineLevel="0" collapsed="false">
      <c r="A226" s="8" t="s">
        <v>1021</v>
      </c>
      <c r="B226" s="11" t="n">
        <v>45212</v>
      </c>
      <c r="C226" s="11" t="n">
        <v>45214</v>
      </c>
      <c r="D226" s="8" t="s">
        <v>1023</v>
      </c>
      <c r="E226" s="8" t="s">
        <v>2285</v>
      </c>
      <c r="F226" s="8" t="s">
        <v>126</v>
      </c>
      <c r="G226" s="8" t="s">
        <v>26</v>
      </c>
      <c r="H226" s="8" t="s">
        <v>77</v>
      </c>
      <c r="I226" s="8" t="s">
        <v>425</v>
      </c>
      <c r="J226" s="8" t="s">
        <v>29</v>
      </c>
      <c r="K226" s="8" t="n">
        <v>1</v>
      </c>
      <c r="L226" s="12" t="n">
        <v>140.23</v>
      </c>
      <c r="M226" s="13" t="n">
        <v>0.15</v>
      </c>
      <c r="N226" s="12" t="n">
        <v>119.2</v>
      </c>
      <c r="O226" s="12" t="n">
        <v>13.9</v>
      </c>
      <c r="P226" s="8" t="str">
        <f aca="false">TEXT(B226,"mmm-yyyy")</f>
        <v>Oct-2023</v>
      </c>
      <c r="Q226" s="14" t="n">
        <f aca="false">IFERROR(O226/N226,"")</f>
        <v>0.116610738255034</v>
      </c>
      <c r="R226" s="8" t="str">
        <f aca="false">IF(OR(N226&gt;$U$3,N226&lt;$U$2),"Sales Outlier",IF(OR(O226&gt;$U$6,O226&lt;$U$4),"Profit Outlier",""))</f>
        <v/>
      </c>
    </row>
    <row r="227" customFormat="false" ht="15" hidden="false" customHeight="true" outlineLevel="0" collapsed="false">
      <c r="A227" s="8" t="s">
        <v>1893</v>
      </c>
      <c r="B227" s="11" t="n">
        <v>45213</v>
      </c>
      <c r="C227" s="11" t="n">
        <v>45220</v>
      </c>
      <c r="D227" s="8" t="s">
        <v>519</v>
      </c>
      <c r="E227" s="8" t="s">
        <v>52</v>
      </c>
      <c r="F227" s="8" t="s">
        <v>126</v>
      </c>
      <c r="G227" s="8" t="s">
        <v>26</v>
      </c>
      <c r="H227" s="8" t="s">
        <v>77</v>
      </c>
      <c r="I227" s="8" t="s">
        <v>425</v>
      </c>
      <c r="J227" s="8" t="s">
        <v>64</v>
      </c>
      <c r="K227" s="8" t="n">
        <v>1</v>
      </c>
      <c r="L227" s="12" t="n">
        <v>767.48</v>
      </c>
      <c r="M227" s="13" t="n">
        <v>0</v>
      </c>
      <c r="N227" s="12" t="n">
        <v>767.48</v>
      </c>
      <c r="O227" s="12" t="n">
        <v>-48.05</v>
      </c>
      <c r="P227" s="8" t="str">
        <f aca="false">TEXT(B227,"mmm-yyyy")</f>
        <v>Oct-2023</v>
      </c>
      <c r="Q227" s="14" t="n">
        <f aca="false">IFERROR(O227/N227,"")</f>
        <v>-0.0626074946578412</v>
      </c>
      <c r="R227" s="8" t="str">
        <f aca="false">IF(OR(N227&gt;$U$3,N227&lt;$U$2),"Sales Outlier",IF(OR(O227&gt;$U$6,O227&lt;$U$4),"Profit Outlier",""))</f>
        <v/>
      </c>
    </row>
    <row r="228" customFormat="false" ht="15" hidden="false" customHeight="true" outlineLevel="0" collapsed="false">
      <c r="A228" s="8" t="s">
        <v>2215</v>
      </c>
      <c r="B228" s="11" t="n">
        <v>45213</v>
      </c>
      <c r="C228" s="11" t="n">
        <v>45215</v>
      </c>
      <c r="D228" s="8" t="s">
        <v>2217</v>
      </c>
      <c r="E228" s="8" t="s">
        <v>34</v>
      </c>
      <c r="F228" s="8" t="s">
        <v>61</v>
      </c>
      <c r="G228" s="8" t="s">
        <v>36</v>
      </c>
      <c r="H228" s="8" t="s">
        <v>132</v>
      </c>
      <c r="I228" s="8" t="s">
        <v>241</v>
      </c>
      <c r="J228" s="8" t="s">
        <v>47</v>
      </c>
      <c r="K228" s="8" t="n">
        <v>1</v>
      </c>
      <c r="L228" s="12" t="n">
        <v>989.6</v>
      </c>
      <c r="M228" s="13" t="n">
        <v>0.05</v>
      </c>
      <c r="N228" s="12" t="n">
        <v>940.12</v>
      </c>
      <c r="O228" s="12" t="n">
        <v>221.49</v>
      </c>
      <c r="P228" s="8" t="str">
        <f aca="false">TEXT(B228,"mmm-yyyy")</f>
        <v>Oct-2023</v>
      </c>
      <c r="Q228" s="14" t="n">
        <f aca="false">IFERROR(O228/N228,"")</f>
        <v>0.23559758328724</v>
      </c>
      <c r="R228" s="8" t="str">
        <f aca="false">IF(OR(N228&gt;$U$3,N228&lt;$U$2),"Sales Outlier",IF(OR(O228&gt;$U$6,O228&lt;$U$4),"Profit Outlier",""))</f>
        <v/>
      </c>
    </row>
    <row r="229" customFormat="false" ht="15" hidden="false" customHeight="true" outlineLevel="0" collapsed="false">
      <c r="A229" s="8" t="s">
        <v>1573</v>
      </c>
      <c r="B229" s="11" t="n">
        <v>45216</v>
      </c>
      <c r="C229" s="11" t="n">
        <v>45220</v>
      </c>
      <c r="D229" s="8" t="s">
        <v>1576</v>
      </c>
      <c r="E229" s="8" t="s">
        <v>34</v>
      </c>
      <c r="F229" s="8" t="s">
        <v>61</v>
      </c>
      <c r="G229" s="8" t="s">
        <v>62</v>
      </c>
      <c r="H229" s="8" t="s">
        <v>132</v>
      </c>
      <c r="I229" s="8" t="s">
        <v>220</v>
      </c>
      <c r="J229" s="8" t="s">
        <v>47</v>
      </c>
      <c r="K229" s="8" t="n">
        <v>1</v>
      </c>
      <c r="L229" s="12" t="n">
        <v>1176.75</v>
      </c>
      <c r="M229" s="13" t="n">
        <v>0</v>
      </c>
      <c r="N229" s="12" t="n">
        <v>1176.75</v>
      </c>
      <c r="O229" s="12" t="n">
        <v>98</v>
      </c>
      <c r="P229" s="8" t="str">
        <f aca="false">TEXT(B229,"mmm-yyyy")</f>
        <v>Oct-2023</v>
      </c>
      <c r="Q229" s="14" t="n">
        <f aca="false">IFERROR(O229/N229,"")</f>
        <v>0.083280220947525</v>
      </c>
      <c r="R229" s="8" t="str">
        <f aca="false">IF(OR(N229&gt;$U$3,N229&lt;$U$2),"Sales Outlier",IF(OR(O229&gt;$U$6,O229&lt;$U$4),"Profit Outlier",""))</f>
        <v/>
      </c>
    </row>
    <row r="230" customFormat="false" ht="15" hidden="false" customHeight="true" outlineLevel="0" collapsed="false">
      <c r="A230" s="8" t="s">
        <v>1957</v>
      </c>
      <c r="B230" s="11" t="n">
        <v>45216</v>
      </c>
      <c r="C230" s="11" t="n">
        <v>45223</v>
      </c>
      <c r="D230" s="8" t="s">
        <v>1199</v>
      </c>
      <c r="E230" s="8" t="s">
        <v>34</v>
      </c>
      <c r="F230" s="8" t="s">
        <v>61</v>
      </c>
      <c r="G230" s="8" t="s">
        <v>76</v>
      </c>
      <c r="H230" s="8" t="s">
        <v>132</v>
      </c>
      <c r="I230" s="8" t="s">
        <v>220</v>
      </c>
      <c r="J230" s="8" t="s">
        <v>29</v>
      </c>
      <c r="K230" s="8" t="n">
        <v>1</v>
      </c>
      <c r="L230" s="12" t="n">
        <v>547.36</v>
      </c>
      <c r="M230" s="13" t="n">
        <v>0.05</v>
      </c>
      <c r="N230" s="12" t="n">
        <v>519.99</v>
      </c>
      <c r="O230" s="12" t="n">
        <v>6.84</v>
      </c>
      <c r="P230" s="8" t="str">
        <f aca="false">TEXT(B230,"mmm-yyyy")</f>
        <v>Oct-2023</v>
      </c>
      <c r="Q230" s="14" t="n">
        <f aca="false">IFERROR(O230/N230,"")</f>
        <v>0.0131540991172907</v>
      </c>
      <c r="R230" s="8" t="str">
        <f aca="false">IF(OR(N230&gt;$U$3,N230&lt;$U$2),"Sales Outlier",IF(OR(O230&gt;$U$6,O230&lt;$U$4),"Profit Outlier",""))</f>
        <v/>
      </c>
    </row>
    <row r="231" customFormat="false" ht="15" hidden="false" customHeight="true" outlineLevel="0" collapsed="false">
      <c r="A231" s="8" t="s">
        <v>202</v>
      </c>
      <c r="B231" s="11" t="n">
        <v>45216</v>
      </c>
      <c r="C231" s="11" t="n">
        <v>45218</v>
      </c>
      <c r="D231" s="8" t="s">
        <v>205</v>
      </c>
      <c r="E231" s="8" t="s">
        <v>52</v>
      </c>
      <c r="F231" s="8" t="s">
        <v>147</v>
      </c>
      <c r="G231" s="8" t="s">
        <v>54</v>
      </c>
      <c r="H231" s="8" t="s">
        <v>37</v>
      </c>
      <c r="I231" s="8" t="s">
        <v>143</v>
      </c>
      <c r="J231" s="8" t="s">
        <v>64</v>
      </c>
      <c r="K231" s="8" t="n">
        <v>2</v>
      </c>
      <c r="L231" s="12" t="n">
        <v>630.59</v>
      </c>
      <c r="M231" s="13" t="n">
        <v>0.2</v>
      </c>
      <c r="N231" s="12" t="n">
        <v>1008.94</v>
      </c>
      <c r="O231" s="12" t="n">
        <v>-87.81</v>
      </c>
      <c r="P231" s="8" t="str">
        <f aca="false">TEXT(B231,"mmm-yyyy")</f>
        <v>Oct-2023</v>
      </c>
      <c r="Q231" s="14" t="n">
        <f aca="false">IFERROR(O231/N231,"")</f>
        <v>-0.0870319345055206</v>
      </c>
      <c r="R231" s="8" t="str">
        <f aca="false">IF(OR(N231&gt;$U$3,N231&lt;$U$2),"Sales Outlier",IF(OR(O231&gt;$U$6,O231&lt;$U$4),"Profit Outlier",""))</f>
        <v/>
      </c>
    </row>
    <row r="232" customFormat="false" ht="15" hidden="false" customHeight="true" outlineLevel="0" collapsed="false">
      <c r="A232" s="8" t="s">
        <v>1375</v>
      </c>
      <c r="B232" s="11" t="n">
        <v>45217</v>
      </c>
      <c r="C232" s="11" t="n">
        <v>45219</v>
      </c>
      <c r="D232" s="8" t="s">
        <v>113</v>
      </c>
      <c r="E232" s="8" t="s">
        <v>34</v>
      </c>
      <c r="F232" s="8" t="s">
        <v>154</v>
      </c>
      <c r="G232" s="8" t="s">
        <v>119</v>
      </c>
      <c r="H232" s="8" t="s">
        <v>45</v>
      </c>
      <c r="I232" s="8" t="s">
        <v>46</v>
      </c>
      <c r="J232" s="8" t="s">
        <v>64</v>
      </c>
      <c r="K232" s="8" t="n">
        <v>1</v>
      </c>
      <c r="L232" s="12" t="n">
        <v>1124.5</v>
      </c>
      <c r="M232" s="13" t="n">
        <v>0.1</v>
      </c>
      <c r="N232" s="12" t="n">
        <v>1012.05</v>
      </c>
      <c r="O232" s="12" t="n">
        <v>88.97</v>
      </c>
      <c r="P232" s="8" t="str">
        <f aca="false">TEXT(B232,"mmm-yyyy")</f>
        <v>Oct-2023</v>
      </c>
      <c r="Q232" s="14" t="n">
        <f aca="false">IFERROR(O232/N232,"")</f>
        <v>0.0879106763499827</v>
      </c>
      <c r="R232" s="8" t="str">
        <f aca="false">IF(OR(N232&gt;$U$3,N232&lt;$U$2),"Sales Outlier",IF(OR(O232&gt;$U$6,O232&lt;$U$4),"Profit Outlier",""))</f>
        <v/>
      </c>
    </row>
    <row r="233" customFormat="false" ht="15" hidden="false" customHeight="true" outlineLevel="0" collapsed="false">
      <c r="A233" s="8" t="s">
        <v>928</v>
      </c>
      <c r="B233" s="11" t="n">
        <v>45220</v>
      </c>
      <c r="C233" s="11" t="n">
        <v>45222</v>
      </c>
      <c r="D233" s="8" t="s">
        <v>931</v>
      </c>
      <c r="E233" s="8" t="s">
        <v>2285</v>
      </c>
      <c r="F233" s="8" t="s">
        <v>126</v>
      </c>
      <c r="G233" s="8" t="s">
        <v>82</v>
      </c>
      <c r="H233" s="8" t="s">
        <v>45</v>
      </c>
      <c r="I233" s="8" t="s">
        <v>138</v>
      </c>
      <c r="J233" s="8" t="s">
        <v>39</v>
      </c>
      <c r="K233" s="8" t="n">
        <v>5</v>
      </c>
      <c r="L233" s="12" t="n">
        <v>518.98</v>
      </c>
      <c r="M233" s="13" t="n">
        <v>0.05</v>
      </c>
      <c r="N233" s="12" t="n">
        <v>2465.15</v>
      </c>
      <c r="O233" s="12" t="n">
        <v>-134.85</v>
      </c>
      <c r="P233" s="8" t="str">
        <f aca="false">TEXT(B233,"mmm-yyyy")</f>
        <v>Oct-2023</v>
      </c>
      <c r="Q233" s="14" t="n">
        <f aca="false">IFERROR(O233/N233,"")</f>
        <v>-0.0547025535971442</v>
      </c>
      <c r="R233" s="8" t="str">
        <f aca="false">IF(OR(N233&gt;$U$3,N233&lt;$U$2),"Sales Outlier",IF(OR(O233&gt;$U$6,O233&lt;$U$4),"Profit Outlier",""))</f>
        <v/>
      </c>
    </row>
    <row r="234" customFormat="false" ht="15" hidden="false" customHeight="true" outlineLevel="0" collapsed="false">
      <c r="A234" s="8" t="s">
        <v>1857</v>
      </c>
      <c r="B234" s="11" t="n">
        <v>45222</v>
      </c>
      <c r="C234" s="11" t="n">
        <v>45223</v>
      </c>
      <c r="D234" s="8" t="s">
        <v>653</v>
      </c>
      <c r="E234" s="8" t="s">
        <v>24</v>
      </c>
      <c r="F234" s="8" t="s">
        <v>147</v>
      </c>
      <c r="G234" s="8" t="s">
        <v>326</v>
      </c>
      <c r="H234" s="8" t="s">
        <v>114</v>
      </c>
      <c r="I234" s="8" t="s">
        <v>297</v>
      </c>
      <c r="J234" s="8" t="s">
        <v>47</v>
      </c>
      <c r="K234" s="8" t="n">
        <v>1</v>
      </c>
      <c r="L234" s="12" t="n">
        <v>100.8</v>
      </c>
      <c r="M234" s="13" t="n">
        <v>0.05</v>
      </c>
      <c r="N234" s="12" t="n">
        <v>95.76</v>
      </c>
      <c r="O234" s="12" t="n">
        <v>31.45</v>
      </c>
      <c r="P234" s="8" t="str">
        <f aca="false">TEXT(B234,"mmm-yyyy")</f>
        <v>Oct-2023</v>
      </c>
      <c r="Q234" s="14" t="n">
        <f aca="false">IFERROR(O234/N234,"")</f>
        <v>0.328425229741019</v>
      </c>
      <c r="R234" s="8" t="str">
        <f aca="false">IF(OR(N234&gt;$U$3,N234&lt;$U$2),"Sales Outlier",IF(OR(O234&gt;$U$6,O234&lt;$U$4),"Profit Outlier",""))</f>
        <v/>
      </c>
    </row>
    <row r="235" customFormat="false" ht="15" hidden="false" customHeight="true" outlineLevel="0" collapsed="false">
      <c r="A235" s="8" t="s">
        <v>2061</v>
      </c>
      <c r="B235" s="11" t="n">
        <v>45223</v>
      </c>
      <c r="C235" s="11" t="n">
        <v>45224</v>
      </c>
      <c r="D235" s="8" t="s">
        <v>2282</v>
      </c>
      <c r="E235" s="8" t="s">
        <v>34</v>
      </c>
      <c r="F235" s="8" t="s">
        <v>126</v>
      </c>
      <c r="G235" s="8" t="s">
        <v>26</v>
      </c>
      <c r="H235" s="8" t="s">
        <v>114</v>
      </c>
      <c r="I235" s="8" t="s">
        <v>96</v>
      </c>
      <c r="J235" s="8" t="s">
        <v>47</v>
      </c>
      <c r="K235" s="8" t="n">
        <v>5</v>
      </c>
      <c r="L235" s="12" t="n">
        <v>946.61</v>
      </c>
      <c r="M235" s="13" t="n">
        <v>0.05</v>
      </c>
      <c r="N235" s="12" t="n">
        <v>4496.4</v>
      </c>
      <c r="O235" s="12" t="n">
        <v>126.14</v>
      </c>
      <c r="P235" s="8" t="str">
        <f aca="false">TEXT(B235,"mmm-yyyy")</f>
        <v>Oct-2023</v>
      </c>
      <c r="Q235" s="14" t="n">
        <f aca="false">IFERROR(O235/N235,"")</f>
        <v>0.0280535539542745</v>
      </c>
      <c r="R235" s="8" t="str">
        <f aca="false">IF(OR(N235&gt;$U$3,N235&lt;$U$2),"Sales Outlier",IF(OR(O235&gt;$U$6,O235&lt;$U$4),"Profit Outlier",""))</f>
        <v/>
      </c>
    </row>
    <row r="236" customFormat="false" ht="15" hidden="false" customHeight="true" outlineLevel="0" collapsed="false">
      <c r="A236" s="8" t="s">
        <v>1431</v>
      </c>
      <c r="B236" s="11" t="n">
        <v>45223</v>
      </c>
      <c r="C236" s="11" t="n">
        <v>45230</v>
      </c>
      <c r="D236" s="8" t="s">
        <v>1023</v>
      </c>
      <c r="E236" s="8" t="s">
        <v>34</v>
      </c>
      <c r="F236" s="8" t="s">
        <v>61</v>
      </c>
      <c r="G236" s="8" t="s">
        <v>76</v>
      </c>
      <c r="H236" s="8" t="s">
        <v>77</v>
      </c>
      <c r="I236" s="8" t="s">
        <v>425</v>
      </c>
      <c r="J236" s="8" t="s">
        <v>39</v>
      </c>
      <c r="K236" s="8" t="n">
        <v>2</v>
      </c>
      <c r="L236" s="12" t="n">
        <v>890.13</v>
      </c>
      <c r="M236" s="13" t="n">
        <v>0.15</v>
      </c>
      <c r="N236" s="12" t="n">
        <v>756.61</v>
      </c>
      <c r="O236" s="12" t="n">
        <v>229.27</v>
      </c>
      <c r="P236" s="8" t="str">
        <f aca="false">TEXT(B236,"mmm-yyyy")</f>
        <v>Oct-2023</v>
      </c>
      <c r="Q236" s="14" t="n">
        <f aca="false">IFERROR(O236/N236,"")</f>
        <v>0.303022693329456</v>
      </c>
      <c r="R236" s="8" t="str">
        <f aca="false">IF(OR(N236&gt;$U$3,N236&lt;$U$2),"Sales Outlier",IF(OR(O236&gt;$U$6,O236&lt;$U$4),"Profit Outlier",""))</f>
        <v/>
      </c>
    </row>
    <row r="237" customFormat="false" ht="15" hidden="false" customHeight="true" outlineLevel="0" collapsed="false">
      <c r="A237" s="8" t="s">
        <v>2189</v>
      </c>
      <c r="B237" s="11" t="n">
        <v>45223</v>
      </c>
      <c r="C237" s="11" t="n">
        <v>45225</v>
      </c>
      <c r="D237" s="8" t="s">
        <v>2192</v>
      </c>
      <c r="E237" s="8" t="s">
        <v>24</v>
      </c>
      <c r="F237" s="8" t="s">
        <v>147</v>
      </c>
      <c r="G237" s="8" t="s">
        <v>215</v>
      </c>
      <c r="H237" s="8" t="s">
        <v>77</v>
      </c>
      <c r="I237" s="8" t="s">
        <v>121</v>
      </c>
      <c r="J237" s="8" t="s">
        <v>64</v>
      </c>
      <c r="K237" s="8" t="n">
        <v>2</v>
      </c>
      <c r="L237" s="12" t="n">
        <v>1190.6</v>
      </c>
      <c r="M237" s="13" t="n">
        <v>0.2</v>
      </c>
      <c r="N237" s="12" t="n">
        <v>1904.96</v>
      </c>
      <c r="O237" s="12" t="n">
        <v>581.41</v>
      </c>
      <c r="P237" s="8" t="str">
        <f aca="false">TEXT(B237,"mmm-yyyy")</f>
        <v>Oct-2023</v>
      </c>
      <c r="Q237" s="14" t="n">
        <f aca="false">IFERROR(O237/N237,"")</f>
        <v>0.305208508315135</v>
      </c>
      <c r="R237" s="8" t="str">
        <f aca="false">IF(OR(N237&gt;$U$3,N237&lt;$U$2),"Sales Outlier",IF(OR(O237&gt;$U$6,O237&lt;$U$4),"Profit Outlier",""))</f>
        <v/>
      </c>
    </row>
    <row r="238" customFormat="false" ht="15" hidden="false" customHeight="true" outlineLevel="0" collapsed="false">
      <c r="A238" s="8" t="s">
        <v>1942</v>
      </c>
      <c r="B238" s="11" t="n">
        <v>45225</v>
      </c>
      <c r="C238" s="11" t="n">
        <v>45231</v>
      </c>
      <c r="D238" s="8" t="s">
        <v>2282</v>
      </c>
      <c r="E238" s="8" t="s">
        <v>34</v>
      </c>
      <c r="F238" s="8" t="s">
        <v>154</v>
      </c>
      <c r="G238" s="8" t="s">
        <v>182</v>
      </c>
      <c r="H238" s="8" t="s">
        <v>37</v>
      </c>
      <c r="I238" s="8" t="s">
        <v>84</v>
      </c>
      <c r="J238" s="8" t="s">
        <v>64</v>
      </c>
      <c r="K238" s="8" t="n">
        <v>3</v>
      </c>
      <c r="L238" s="12" t="n">
        <v>670.23</v>
      </c>
      <c r="M238" s="13" t="n">
        <v>0</v>
      </c>
      <c r="N238" s="12" t="n">
        <v>2010.69</v>
      </c>
      <c r="O238" s="12" t="n">
        <v>442.62</v>
      </c>
      <c r="P238" s="8" t="str">
        <f aca="false">TEXT(B238,"mmm-yyyy")</f>
        <v>Oct-2023</v>
      </c>
      <c r="Q238" s="14" t="n">
        <f aca="false">IFERROR(O238/N238,"")</f>
        <v>0.220133387046238</v>
      </c>
      <c r="R238" s="8" t="str">
        <f aca="false">IF(OR(N238&gt;$U$3,N238&lt;$U$2),"Sales Outlier",IF(OR(O238&gt;$U$6,O238&lt;$U$4),"Profit Outlier",""))</f>
        <v/>
      </c>
    </row>
    <row r="239" customFormat="false" ht="15" hidden="false" customHeight="true" outlineLevel="0" collapsed="false">
      <c r="A239" s="8" t="s">
        <v>690</v>
      </c>
      <c r="B239" s="11" t="n">
        <v>45225</v>
      </c>
      <c r="C239" s="11" t="n">
        <v>45232</v>
      </c>
      <c r="D239" s="8" t="s">
        <v>693</v>
      </c>
      <c r="E239" s="8" t="s">
        <v>34</v>
      </c>
      <c r="F239" s="8" t="s">
        <v>147</v>
      </c>
      <c r="G239" s="8" t="s">
        <v>215</v>
      </c>
      <c r="H239" s="8" t="s">
        <v>77</v>
      </c>
      <c r="I239" s="8" t="s">
        <v>78</v>
      </c>
      <c r="J239" s="8" t="s">
        <v>47</v>
      </c>
      <c r="K239" s="8" t="n">
        <v>2</v>
      </c>
      <c r="L239" s="12" t="n">
        <v>689.57</v>
      </c>
      <c r="M239" s="13" t="n">
        <v>0</v>
      </c>
      <c r="N239" s="12" t="n">
        <v>1379.14</v>
      </c>
      <c r="O239" s="12" t="n">
        <v>18.51</v>
      </c>
      <c r="P239" s="8" t="str">
        <f aca="false">TEXT(B239,"mmm-yyyy")</f>
        <v>Oct-2023</v>
      </c>
      <c r="Q239" s="14" t="n">
        <f aca="false">IFERROR(O239/N239,"")</f>
        <v>0.0134214075438317</v>
      </c>
      <c r="R239" s="8" t="str">
        <f aca="false">IF(OR(N239&gt;$U$3,N239&lt;$U$2),"Sales Outlier",IF(OR(O239&gt;$U$6,O239&lt;$U$4),"Profit Outlier",""))</f>
        <v/>
      </c>
    </row>
    <row r="240" customFormat="false" ht="15" hidden="false" customHeight="true" outlineLevel="0" collapsed="false">
      <c r="A240" s="8" t="s">
        <v>196</v>
      </c>
      <c r="B240" s="11" t="n">
        <v>45226</v>
      </c>
      <c r="C240" s="11" t="n">
        <v>45228</v>
      </c>
      <c r="D240" s="8" t="s">
        <v>199</v>
      </c>
      <c r="E240" s="8" t="s">
        <v>2285</v>
      </c>
      <c r="F240" s="8" t="s">
        <v>126</v>
      </c>
      <c r="G240" s="8" t="s">
        <v>82</v>
      </c>
      <c r="H240" s="8" t="s">
        <v>114</v>
      </c>
      <c r="I240" s="8" t="s">
        <v>201</v>
      </c>
      <c r="J240" s="8" t="s">
        <v>47</v>
      </c>
      <c r="K240" s="8" t="n">
        <v>5</v>
      </c>
      <c r="L240" s="12" t="n">
        <v>449.67</v>
      </c>
      <c r="M240" s="13" t="n">
        <v>0.1</v>
      </c>
      <c r="N240" s="12" t="n">
        <v>2023.51</v>
      </c>
      <c r="O240" s="12" t="n">
        <v>345.96</v>
      </c>
      <c r="P240" s="8" t="str">
        <f aca="false">TEXT(B240,"mmm-yyyy")</f>
        <v>Oct-2023</v>
      </c>
      <c r="Q240" s="14" t="n">
        <f aca="false">IFERROR(O240/N240,"")</f>
        <v>0.170970244772697</v>
      </c>
      <c r="R240" s="8" t="str">
        <f aca="false">IF(OR(N240&gt;$U$3,N240&lt;$U$2),"Sales Outlier",IF(OR(O240&gt;$U$6,O240&lt;$U$4),"Profit Outlier",""))</f>
        <v/>
      </c>
    </row>
    <row r="241" customFormat="false" ht="15" hidden="false" customHeight="true" outlineLevel="0" collapsed="false">
      <c r="A241" s="8" t="s">
        <v>1100</v>
      </c>
      <c r="B241" s="11" t="n">
        <v>45226</v>
      </c>
      <c r="C241" s="11" t="n">
        <v>45229</v>
      </c>
      <c r="D241" s="8" t="s">
        <v>1103</v>
      </c>
      <c r="E241" s="8" t="s">
        <v>34</v>
      </c>
      <c r="F241" s="8" t="s">
        <v>61</v>
      </c>
      <c r="G241" s="8" t="s">
        <v>76</v>
      </c>
      <c r="H241" s="8" t="s">
        <v>45</v>
      </c>
      <c r="I241" s="8" t="s">
        <v>149</v>
      </c>
      <c r="J241" s="8" t="s">
        <v>29</v>
      </c>
      <c r="K241" s="8" t="n">
        <v>2</v>
      </c>
      <c r="L241" s="12" t="n">
        <v>391.77</v>
      </c>
      <c r="M241" s="13" t="n">
        <v>0</v>
      </c>
      <c r="N241" s="12" t="n">
        <v>783.54</v>
      </c>
      <c r="O241" s="12" t="n">
        <v>261.11</v>
      </c>
      <c r="P241" s="8" t="str">
        <f aca="false">TEXT(B241,"mmm-yyyy")</f>
        <v>Oct-2023</v>
      </c>
      <c r="Q241" s="14" t="n">
        <f aca="false">IFERROR(O241/N241,"")</f>
        <v>0.333243995201266</v>
      </c>
      <c r="R241" s="8" t="str">
        <f aca="false">IF(OR(N241&gt;$U$3,N241&lt;$U$2),"Sales Outlier",IF(OR(O241&gt;$U$6,O241&lt;$U$4),"Profit Outlier",""))</f>
        <v/>
      </c>
    </row>
    <row r="242" customFormat="false" ht="15" hidden="false" customHeight="true" outlineLevel="0" collapsed="false">
      <c r="A242" s="8" t="s">
        <v>1234</v>
      </c>
      <c r="B242" s="11" t="n">
        <v>45229</v>
      </c>
      <c r="C242" s="11" t="n">
        <v>45234</v>
      </c>
      <c r="D242" s="8" t="s">
        <v>1237</v>
      </c>
      <c r="E242" s="8" t="s">
        <v>2285</v>
      </c>
      <c r="F242" s="8" t="s">
        <v>154</v>
      </c>
      <c r="G242" s="8" t="s">
        <v>102</v>
      </c>
      <c r="H242" s="8" t="s">
        <v>77</v>
      </c>
      <c r="I242" s="8" t="s">
        <v>127</v>
      </c>
      <c r="J242" s="8" t="s">
        <v>64</v>
      </c>
      <c r="K242" s="8" t="n">
        <v>2</v>
      </c>
      <c r="L242" s="12" t="n">
        <v>21.83</v>
      </c>
      <c r="M242" s="13" t="n">
        <v>0.1</v>
      </c>
      <c r="N242" s="12" t="n">
        <v>39.29</v>
      </c>
      <c r="O242" s="12" t="n">
        <v>5.18</v>
      </c>
      <c r="P242" s="8" t="str">
        <f aca="false">TEXT(B242,"mmm-yyyy")</f>
        <v>Oct-2023</v>
      </c>
      <c r="Q242" s="14" t="n">
        <f aca="false">IFERROR(O242/N242,"")</f>
        <v>0.131840162891321</v>
      </c>
      <c r="R242" s="8" t="str">
        <f aca="false">IF(OR(N242&gt;$U$3,N242&lt;$U$2),"Sales Outlier",IF(OR(O242&gt;$U$6,O242&lt;$U$4),"Profit Outlier",""))</f>
        <v/>
      </c>
    </row>
    <row r="243" customFormat="false" ht="15" hidden="false" customHeight="true" outlineLevel="0" collapsed="false">
      <c r="A243" s="8" t="s">
        <v>1991</v>
      </c>
      <c r="B243" s="11" t="n">
        <v>45230</v>
      </c>
      <c r="C243" s="11" t="n">
        <v>45237</v>
      </c>
      <c r="D243" s="8" t="s">
        <v>915</v>
      </c>
      <c r="E243" s="8" t="s">
        <v>34</v>
      </c>
      <c r="F243" s="8" t="s">
        <v>147</v>
      </c>
      <c r="G243" s="8" t="s">
        <v>326</v>
      </c>
      <c r="H243" s="8" t="s">
        <v>77</v>
      </c>
      <c r="I243" s="8" t="s">
        <v>71</v>
      </c>
      <c r="J243" s="8" t="s">
        <v>47</v>
      </c>
      <c r="K243" s="8" t="n">
        <v>2</v>
      </c>
      <c r="L243" s="12" t="n">
        <v>382.53</v>
      </c>
      <c r="M243" s="13" t="n">
        <v>0</v>
      </c>
      <c r="N243" s="12" t="n">
        <v>382.53</v>
      </c>
      <c r="O243" s="12" t="n">
        <v>16.86</v>
      </c>
      <c r="P243" s="8" t="str">
        <f aca="false">TEXT(B243,"mmm-yyyy")</f>
        <v>Oct-2023</v>
      </c>
      <c r="Q243" s="14" t="n">
        <f aca="false">IFERROR(O243/N243,"")</f>
        <v>0.044074974511803</v>
      </c>
      <c r="R243" s="8" t="str">
        <f aca="false">IF(OR(N243&gt;$U$3,N243&lt;$U$2),"Sales Outlier",IF(OR(O243&gt;$U$6,O243&lt;$U$4),"Profit Outlier",""))</f>
        <v/>
      </c>
    </row>
    <row r="244" customFormat="false" ht="15" hidden="false" customHeight="true" outlineLevel="0" collapsed="false">
      <c r="A244" s="8" t="s">
        <v>1763</v>
      </c>
      <c r="B244" s="11" t="n">
        <v>45231</v>
      </c>
      <c r="C244" s="11" t="n">
        <v>44939</v>
      </c>
      <c r="D244" s="8" t="s">
        <v>292</v>
      </c>
      <c r="E244" s="8" t="s">
        <v>34</v>
      </c>
      <c r="F244" s="8" t="s">
        <v>126</v>
      </c>
      <c r="G244" s="8" t="s">
        <v>26</v>
      </c>
      <c r="H244" s="8" t="s">
        <v>114</v>
      </c>
      <c r="I244" s="8" t="s">
        <v>201</v>
      </c>
      <c r="J244" s="8" t="s">
        <v>39</v>
      </c>
      <c r="K244" s="8" t="n">
        <v>2</v>
      </c>
      <c r="L244" s="12" t="n">
        <v>462.04</v>
      </c>
      <c r="M244" s="13" t="n">
        <v>0.05</v>
      </c>
      <c r="N244" s="12" t="n">
        <v>877.88</v>
      </c>
      <c r="O244" s="12" t="n">
        <v>274</v>
      </c>
      <c r="P244" s="8" t="str">
        <f aca="false">TEXT(B244,"mmm-yyyy")</f>
        <v>Nov-2023</v>
      </c>
      <c r="Q244" s="14" t="n">
        <f aca="false">IFERROR(O244/N244,"")</f>
        <v>0.312115551100378</v>
      </c>
      <c r="R244" s="8" t="str">
        <f aca="false">IF(OR(N244&gt;$U$3,N244&lt;$U$2),"Sales Outlier",IF(OR(O244&gt;$U$6,O244&lt;$U$4),"Profit Outlier",""))</f>
        <v/>
      </c>
    </row>
    <row r="245" customFormat="false" ht="15" hidden="false" customHeight="true" outlineLevel="0" collapsed="false">
      <c r="A245" s="8" t="s">
        <v>1629</v>
      </c>
      <c r="B245" s="11" t="n">
        <v>45232</v>
      </c>
      <c r="C245" s="11" t="n">
        <v>45239</v>
      </c>
      <c r="D245" s="8" t="s">
        <v>1632</v>
      </c>
      <c r="E245" s="8" t="s">
        <v>52</v>
      </c>
      <c r="F245" s="8" t="s">
        <v>154</v>
      </c>
      <c r="G245" s="8" t="s">
        <v>119</v>
      </c>
      <c r="H245" s="8" t="s">
        <v>132</v>
      </c>
      <c r="I245" s="8" t="s">
        <v>56</v>
      </c>
      <c r="J245" s="8" t="s">
        <v>64</v>
      </c>
      <c r="K245" s="8" t="n">
        <v>1</v>
      </c>
      <c r="L245" s="12" t="n">
        <v>332.32</v>
      </c>
      <c r="M245" s="13" t="n">
        <v>0</v>
      </c>
      <c r="N245" s="12" t="n">
        <v>332.32</v>
      </c>
      <c r="O245" s="12" t="n">
        <v>90.97</v>
      </c>
      <c r="P245" s="8" t="str">
        <f aca="false">TEXT(B245,"mmm-yyyy")</f>
        <v>Nov-2023</v>
      </c>
      <c r="Q245" s="14" t="n">
        <f aca="false">IFERROR(O245/N245,"")</f>
        <v>0.273742176215696</v>
      </c>
      <c r="R245" s="8" t="str">
        <f aca="false">IF(OR(N245&gt;$U$3,N245&lt;$U$2),"Sales Outlier",IF(OR(O245&gt;$U$6,O245&lt;$U$4),"Profit Outlier",""))</f>
        <v/>
      </c>
    </row>
    <row r="246" customFormat="false" ht="15" hidden="false" customHeight="true" outlineLevel="0" collapsed="false">
      <c r="A246" s="8" t="s">
        <v>1978</v>
      </c>
      <c r="B246" s="11" t="n">
        <v>45236</v>
      </c>
      <c r="C246" s="11"/>
      <c r="D246" s="8" t="s">
        <v>420</v>
      </c>
      <c r="E246" s="8" t="s">
        <v>52</v>
      </c>
      <c r="F246" s="8" t="s">
        <v>154</v>
      </c>
      <c r="G246" s="8" t="s">
        <v>182</v>
      </c>
      <c r="H246" s="8" t="s">
        <v>132</v>
      </c>
      <c r="I246" s="8" t="s">
        <v>63</v>
      </c>
      <c r="J246" s="8" t="s">
        <v>29</v>
      </c>
      <c r="K246" s="8" t="n">
        <v>3</v>
      </c>
      <c r="L246" s="12" t="n">
        <v>257.76</v>
      </c>
      <c r="M246" s="13" t="n">
        <v>0.05</v>
      </c>
      <c r="N246" s="12" t="n">
        <v>734.62</v>
      </c>
      <c r="O246" s="12" t="n">
        <v>-35.99</v>
      </c>
      <c r="P246" s="8" t="str">
        <f aca="false">TEXT(B246,"mmm-yyyy")</f>
        <v>Nov-2023</v>
      </c>
      <c r="Q246" s="14" t="n">
        <f aca="false">IFERROR(O246/N246,"")</f>
        <v>-0.04899131523781</v>
      </c>
      <c r="R246" s="8" t="str">
        <f aca="false">IF(OR(N246&gt;$U$3,N246&lt;$U$2),"Sales Outlier",IF(OR(O246&gt;$U$6,O246&lt;$U$4),"Profit Outlier",""))</f>
        <v/>
      </c>
    </row>
    <row r="247" customFormat="false" ht="15" hidden="false" customHeight="true" outlineLevel="0" collapsed="false">
      <c r="A247" s="8" t="s">
        <v>285</v>
      </c>
      <c r="B247" s="11" t="n">
        <v>45236</v>
      </c>
      <c r="C247" s="11" t="n">
        <v>45094</v>
      </c>
      <c r="D247" s="8" t="s">
        <v>288</v>
      </c>
      <c r="E247" s="8" t="s">
        <v>34</v>
      </c>
      <c r="F247" s="8" t="s">
        <v>61</v>
      </c>
      <c r="G247" s="8" t="s">
        <v>76</v>
      </c>
      <c r="H247" s="8" t="s">
        <v>132</v>
      </c>
      <c r="I247" s="8" t="s">
        <v>63</v>
      </c>
      <c r="J247" s="8" t="s">
        <v>39</v>
      </c>
      <c r="K247" s="8" t="n">
        <v>3</v>
      </c>
      <c r="L247" s="12" t="n">
        <v>1070.14</v>
      </c>
      <c r="M247" s="13" t="n">
        <v>0</v>
      </c>
      <c r="N247" s="12" t="n">
        <v>3210.42</v>
      </c>
      <c r="O247" s="12" t="n">
        <v>823.25</v>
      </c>
      <c r="P247" s="8" t="str">
        <f aca="false">TEXT(B247,"mmm-yyyy")</f>
        <v>Nov-2023</v>
      </c>
      <c r="Q247" s="14" t="n">
        <f aca="false">IFERROR(O247/N247,"")</f>
        <v>0.256430622784558</v>
      </c>
      <c r="R247" s="8" t="str">
        <f aca="false">IF(OR(N247&gt;$U$3,N247&lt;$U$2),"Sales Outlier",IF(OR(O247&gt;$U$6,O247&lt;$U$4),"Profit Outlier",""))</f>
        <v/>
      </c>
    </row>
    <row r="248" customFormat="false" ht="15" hidden="false" customHeight="true" outlineLevel="0" collapsed="false">
      <c r="A248" s="8" t="s">
        <v>770</v>
      </c>
      <c r="B248" s="11" t="n">
        <v>45236</v>
      </c>
      <c r="C248" s="11" t="n">
        <v>45243</v>
      </c>
      <c r="D248" s="8" t="s">
        <v>773</v>
      </c>
      <c r="E248" s="8" t="s">
        <v>34</v>
      </c>
      <c r="F248" s="8" t="s">
        <v>126</v>
      </c>
      <c r="G248" s="8" t="s">
        <v>82</v>
      </c>
      <c r="H248" s="8" t="s">
        <v>37</v>
      </c>
      <c r="I248" s="8" t="s">
        <v>84</v>
      </c>
      <c r="J248" s="8" t="s">
        <v>39</v>
      </c>
      <c r="K248" s="8" t="n">
        <v>2</v>
      </c>
      <c r="L248" s="12" t="n">
        <v>55.47</v>
      </c>
      <c r="M248" s="13" t="n">
        <v>0</v>
      </c>
      <c r="N248" s="12" t="n">
        <v>55.47</v>
      </c>
      <c r="O248" s="12" t="n">
        <v>1.01</v>
      </c>
      <c r="P248" s="8" t="str">
        <f aca="false">TEXT(B248,"mmm-yyyy")</f>
        <v>Nov-2023</v>
      </c>
      <c r="Q248" s="14" t="n">
        <f aca="false">IFERROR(O248/N248,"")</f>
        <v>0.0182080403821886</v>
      </c>
      <c r="R248" s="8" t="str">
        <f aca="false">IF(OR(N248&gt;$U$3,N248&lt;$U$2),"Sales Outlier",IF(OR(O248&gt;$U$6,O248&lt;$U$4),"Profit Outlier",""))</f>
        <v/>
      </c>
    </row>
    <row r="249" customFormat="false" ht="15" hidden="false" customHeight="true" outlineLevel="0" collapsed="false">
      <c r="A249" s="8" t="s">
        <v>134</v>
      </c>
      <c r="B249" s="11" t="n">
        <v>45237</v>
      </c>
      <c r="C249" s="11" t="n">
        <v>45121</v>
      </c>
      <c r="D249" s="8" t="s">
        <v>137</v>
      </c>
      <c r="E249" s="8" t="s">
        <v>2285</v>
      </c>
      <c r="F249" s="8" t="s">
        <v>126</v>
      </c>
      <c r="G249" s="8" t="s">
        <v>82</v>
      </c>
      <c r="H249" s="8" t="s">
        <v>45</v>
      </c>
      <c r="I249" s="8" t="s">
        <v>138</v>
      </c>
      <c r="J249" s="8" t="s">
        <v>29</v>
      </c>
      <c r="K249" s="8" t="n">
        <v>2</v>
      </c>
      <c r="L249" s="12" t="n">
        <v>590.12</v>
      </c>
      <c r="M249" s="13" t="n">
        <v>0.05</v>
      </c>
      <c r="N249" s="12" t="n">
        <v>1121.23</v>
      </c>
      <c r="O249" s="12" t="n">
        <v>-13.67</v>
      </c>
      <c r="P249" s="8" t="str">
        <f aca="false">TEXT(B249,"mmm-yyyy")</f>
        <v>Nov-2023</v>
      </c>
      <c r="Q249" s="14" t="n">
        <f aca="false">IFERROR(O249/N249,"")</f>
        <v>-0.0121919677497035</v>
      </c>
      <c r="R249" s="8" t="str">
        <f aca="false">IF(OR(N249&gt;$U$3,N249&lt;$U$2),"Sales Outlier",IF(OR(O249&gt;$U$6,O249&lt;$U$4),"Profit Outlier",""))</f>
        <v/>
      </c>
    </row>
    <row r="250" customFormat="false" ht="15" hidden="false" customHeight="true" outlineLevel="0" collapsed="false">
      <c r="A250" s="8" t="s">
        <v>604</v>
      </c>
      <c r="B250" s="11" t="n">
        <v>45239</v>
      </c>
      <c r="C250" s="11" t="n">
        <v>45242</v>
      </c>
      <c r="D250" s="8" t="s">
        <v>2206</v>
      </c>
      <c r="E250" s="8" t="s">
        <v>52</v>
      </c>
      <c r="F250" s="8" t="s">
        <v>154</v>
      </c>
      <c r="G250" s="8" t="s">
        <v>182</v>
      </c>
      <c r="H250" s="8" t="s">
        <v>45</v>
      </c>
      <c r="I250" s="8" t="s">
        <v>46</v>
      </c>
      <c r="J250" s="8" t="s">
        <v>29</v>
      </c>
      <c r="K250" s="8" t="n">
        <v>1</v>
      </c>
      <c r="L250" s="12" t="n">
        <v>52.5</v>
      </c>
      <c r="M250" s="13" t="n">
        <v>0.2</v>
      </c>
      <c r="N250" s="12" t="n">
        <v>42</v>
      </c>
      <c r="O250" s="12" t="n">
        <v>1.51</v>
      </c>
      <c r="P250" s="8" t="str">
        <f aca="false">TEXT(B250,"mmm-yyyy")</f>
        <v>Nov-2023</v>
      </c>
      <c r="Q250" s="14" t="n">
        <f aca="false">IFERROR(O250/N250,"")</f>
        <v>0.035952380952381</v>
      </c>
      <c r="R250" s="8" t="str">
        <f aca="false">IF(OR(N250&gt;$U$3,N250&lt;$U$2),"Sales Outlier",IF(OR(O250&gt;$U$6,O250&lt;$U$4),"Profit Outlier",""))</f>
        <v/>
      </c>
    </row>
    <row r="251" customFormat="false" ht="15" hidden="false" customHeight="true" outlineLevel="0" collapsed="false">
      <c r="A251" s="8" t="s">
        <v>2088</v>
      </c>
      <c r="B251" s="11" t="n">
        <v>45240</v>
      </c>
      <c r="C251" s="11" t="n">
        <v>45242</v>
      </c>
      <c r="D251" s="8" t="s">
        <v>1651</v>
      </c>
      <c r="E251" s="8" t="s">
        <v>24</v>
      </c>
      <c r="F251" s="8" t="s">
        <v>154</v>
      </c>
      <c r="G251" s="8" t="s">
        <v>182</v>
      </c>
      <c r="H251" s="8" t="s">
        <v>37</v>
      </c>
      <c r="I251" s="8" t="s">
        <v>38</v>
      </c>
      <c r="J251" s="8" t="s">
        <v>64</v>
      </c>
      <c r="K251" s="8" t="n">
        <v>2</v>
      </c>
      <c r="L251" s="12" t="n">
        <v>681.39</v>
      </c>
      <c r="M251" s="13" t="n">
        <v>0.1</v>
      </c>
      <c r="N251" s="12" t="n">
        <v>1226.5</v>
      </c>
      <c r="O251" s="12" t="n">
        <v>368.87</v>
      </c>
      <c r="P251" s="8" t="str">
        <f aca="false">TEXT(B251,"mmm-yyyy")</f>
        <v>Nov-2023</v>
      </c>
      <c r="Q251" s="14" t="n">
        <f aca="false">IFERROR(O251/N251,"")</f>
        <v>0.300750101916021</v>
      </c>
      <c r="R251" s="8" t="str">
        <f aca="false">IF(OR(N251&gt;$U$3,N251&lt;$U$2),"Sales Outlier",IF(OR(O251&gt;$U$6,O251&lt;$U$4),"Profit Outlier",""))</f>
        <v/>
      </c>
    </row>
    <row r="252" customFormat="false" ht="15" hidden="false" customHeight="true" outlineLevel="0" collapsed="false">
      <c r="A252" s="8" t="s">
        <v>1687</v>
      </c>
      <c r="B252" s="11" t="n">
        <v>45240</v>
      </c>
      <c r="C252" s="11" t="n">
        <v>45241</v>
      </c>
      <c r="D252" s="8" t="s">
        <v>1690</v>
      </c>
      <c r="E252" s="8" t="s">
        <v>24</v>
      </c>
      <c r="F252" s="8" t="s">
        <v>147</v>
      </c>
      <c r="G252" s="8" t="s">
        <v>54</v>
      </c>
      <c r="H252" s="8" t="s">
        <v>114</v>
      </c>
      <c r="I252" s="8" t="s">
        <v>96</v>
      </c>
      <c r="J252" s="8" t="s">
        <v>29</v>
      </c>
      <c r="K252" s="8" t="n">
        <v>1</v>
      </c>
      <c r="L252" s="12" t="n">
        <v>10.57</v>
      </c>
      <c r="M252" s="13" t="n">
        <v>0.15</v>
      </c>
      <c r="N252" s="12" t="n">
        <v>8.98</v>
      </c>
      <c r="O252" s="12" t="n">
        <v>1.67</v>
      </c>
      <c r="P252" s="8" t="str">
        <f aca="false">TEXT(B252,"mmm-yyyy")</f>
        <v>Nov-2023</v>
      </c>
      <c r="Q252" s="14" t="n">
        <f aca="false">IFERROR(O252/N252,"")</f>
        <v>0.185968819599109</v>
      </c>
      <c r="R252" s="8" t="str">
        <f aca="false">IF(OR(N252&gt;$U$3,N252&lt;$U$2),"Sales Outlier",IF(OR(O252&gt;$U$6,O252&lt;$U$4),"Profit Outlier",""))</f>
        <v/>
      </c>
    </row>
    <row r="253" customFormat="false" ht="15" hidden="false" customHeight="true" outlineLevel="0" collapsed="false">
      <c r="A253" s="8" t="s">
        <v>400</v>
      </c>
      <c r="B253" s="11" t="n">
        <v>45242</v>
      </c>
      <c r="C253" s="11" t="n">
        <v>45249</v>
      </c>
      <c r="D253" s="8" t="s">
        <v>403</v>
      </c>
      <c r="E253" s="8" t="s">
        <v>52</v>
      </c>
      <c r="F253" s="8" t="s">
        <v>154</v>
      </c>
      <c r="G253" s="8" t="s">
        <v>119</v>
      </c>
      <c r="H253" s="8" t="s">
        <v>37</v>
      </c>
      <c r="I253" s="8" t="s">
        <v>404</v>
      </c>
      <c r="J253" s="8" t="s">
        <v>47</v>
      </c>
      <c r="K253" s="8" t="n">
        <v>1</v>
      </c>
      <c r="L253" s="12" t="n">
        <v>1053.25</v>
      </c>
      <c r="M253" s="13" t="n">
        <v>0.05</v>
      </c>
      <c r="N253" s="12" t="n">
        <v>1000.59</v>
      </c>
      <c r="O253" s="12" t="n">
        <v>70.73</v>
      </c>
      <c r="P253" s="8" t="str">
        <f aca="false">TEXT(B253,"mmm-yyyy")</f>
        <v>Nov-2023</v>
      </c>
      <c r="Q253" s="14" t="n">
        <f aca="false">IFERROR(O253/N253,"")</f>
        <v>0.0706882939065951</v>
      </c>
      <c r="R253" s="8" t="str">
        <f aca="false">IF(OR(N253&gt;$U$3,N253&lt;$U$2),"Sales Outlier",IF(OR(O253&gt;$U$6,O253&lt;$U$4),"Profit Outlier",""))</f>
        <v/>
      </c>
    </row>
    <row r="254" customFormat="false" ht="15" hidden="false" customHeight="true" outlineLevel="0" collapsed="false">
      <c r="A254" s="8" t="s">
        <v>1268</v>
      </c>
      <c r="B254" s="11" t="n">
        <v>45243</v>
      </c>
      <c r="C254" s="11" t="n">
        <v>45249</v>
      </c>
      <c r="D254" s="8" t="s">
        <v>1270</v>
      </c>
      <c r="E254" s="8" t="s">
        <v>2285</v>
      </c>
      <c r="F254" s="8" t="s">
        <v>147</v>
      </c>
      <c r="G254" s="8" t="s">
        <v>215</v>
      </c>
      <c r="H254" s="8" t="s">
        <v>132</v>
      </c>
      <c r="I254" s="8" t="s">
        <v>241</v>
      </c>
      <c r="J254" s="8" t="s">
        <v>47</v>
      </c>
      <c r="K254" s="8" t="n">
        <v>2</v>
      </c>
      <c r="L254" s="12" t="n">
        <v>307.31</v>
      </c>
      <c r="M254" s="13" t="n">
        <v>0.15</v>
      </c>
      <c r="N254" s="12" t="n">
        <v>522.43</v>
      </c>
      <c r="O254" s="12" t="n">
        <v>-50.39</v>
      </c>
      <c r="P254" s="8" t="str">
        <f aca="false">TEXT(B254,"mmm-yyyy")</f>
        <v>Nov-2023</v>
      </c>
      <c r="Q254" s="14" t="n">
        <f aca="false">IFERROR(O254/N254,"")</f>
        <v>-0.0964531133357579</v>
      </c>
      <c r="R254" s="8" t="str">
        <f aca="false">IF(OR(N254&gt;$U$3,N254&lt;$U$2),"Sales Outlier",IF(OR(O254&gt;$U$6,O254&lt;$U$4),"Profit Outlier",""))</f>
        <v/>
      </c>
    </row>
    <row r="255" customFormat="false" ht="15" hidden="false" customHeight="true" outlineLevel="0" collapsed="false">
      <c r="A255" s="8" t="s">
        <v>1982</v>
      </c>
      <c r="B255" s="11" t="n">
        <v>45243</v>
      </c>
      <c r="C255" s="11" t="n">
        <v>45245</v>
      </c>
      <c r="D255" s="8" t="s">
        <v>1985</v>
      </c>
      <c r="E255" s="8" t="s">
        <v>24</v>
      </c>
      <c r="F255" s="8" t="s">
        <v>147</v>
      </c>
      <c r="G255" s="8" t="s">
        <v>54</v>
      </c>
      <c r="H255" s="8" t="s">
        <v>37</v>
      </c>
      <c r="I255" s="8" t="s">
        <v>84</v>
      </c>
      <c r="J255" s="8" t="s">
        <v>29</v>
      </c>
      <c r="K255" s="8" t="n">
        <v>2</v>
      </c>
      <c r="L255" s="12" t="n">
        <v>105.75</v>
      </c>
      <c r="M255" s="13" t="n">
        <v>0.15</v>
      </c>
      <c r="N255" s="12" t="n">
        <v>179.78</v>
      </c>
      <c r="O255" s="12" t="n">
        <v>-15.13</v>
      </c>
      <c r="P255" s="8" t="str">
        <f aca="false">TEXT(B255,"mmm-yyyy")</f>
        <v>Nov-2023</v>
      </c>
      <c r="Q255" s="14" t="n">
        <f aca="false">IFERROR(O255/N255,"")</f>
        <v>-0.0841584158415842</v>
      </c>
      <c r="R255" s="8" t="str">
        <f aca="false">IF(OR(N255&gt;$U$3,N255&lt;$U$2),"Sales Outlier",IF(OR(O255&gt;$U$6,O255&lt;$U$4),"Profit Outlier",""))</f>
        <v/>
      </c>
    </row>
    <row r="256" customFormat="false" ht="15" hidden="false" customHeight="true" outlineLevel="0" collapsed="false">
      <c r="A256" s="8" t="s">
        <v>225</v>
      </c>
      <c r="B256" s="11" t="n">
        <v>45245</v>
      </c>
      <c r="C256" s="11" t="n">
        <v>45247</v>
      </c>
      <c r="D256" s="8" t="s">
        <v>228</v>
      </c>
      <c r="E256" s="8" t="s">
        <v>52</v>
      </c>
      <c r="F256" s="8" t="s">
        <v>154</v>
      </c>
      <c r="G256" s="8" t="s">
        <v>182</v>
      </c>
      <c r="H256" s="8" t="s">
        <v>114</v>
      </c>
      <c r="I256" s="8" t="s">
        <v>201</v>
      </c>
      <c r="J256" s="8" t="s">
        <v>64</v>
      </c>
      <c r="K256" s="8" t="n">
        <v>1</v>
      </c>
      <c r="L256" s="12" t="n">
        <v>514.36</v>
      </c>
      <c r="M256" s="13" t="n">
        <v>0.15</v>
      </c>
      <c r="N256" s="12" t="n">
        <v>437.21</v>
      </c>
      <c r="O256" s="12" t="n">
        <v>44.47</v>
      </c>
      <c r="P256" s="8" t="str">
        <f aca="false">TEXT(B256,"mmm-yyyy")</f>
        <v>Nov-2023</v>
      </c>
      <c r="Q256" s="14" t="n">
        <f aca="false">IFERROR(O256/N256,"")</f>
        <v>0.101713135564145</v>
      </c>
      <c r="R256" s="8" t="str">
        <f aca="false">IF(OR(N256&gt;$U$3,N256&lt;$U$2),"Sales Outlier",IF(OR(O256&gt;$U$6,O256&lt;$U$4),"Profit Outlier",""))</f>
        <v/>
      </c>
    </row>
    <row r="257" customFormat="false" ht="15" hidden="false" customHeight="true" outlineLevel="0" collapsed="false">
      <c r="A257" s="8" t="s">
        <v>658</v>
      </c>
      <c r="B257" s="11" t="n">
        <v>45246</v>
      </c>
      <c r="C257" s="11" t="n">
        <v>45249</v>
      </c>
      <c r="D257" s="8" t="s">
        <v>292</v>
      </c>
      <c r="E257" s="8" t="s">
        <v>34</v>
      </c>
      <c r="F257" s="8" t="s">
        <v>126</v>
      </c>
      <c r="G257" s="8" t="s">
        <v>26</v>
      </c>
      <c r="H257" s="8" t="s">
        <v>37</v>
      </c>
      <c r="I257" s="8" t="s">
        <v>404</v>
      </c>
      <c r="J257" s="8" t="s">
        <v>39</v>
      </c>
      <c r="K257" s="8" t="n">
        <v>1</v>
      </c>
      <c r="L257" s="12" t="n">
        <v>1162.24</v>
      </c>
      <c r="M257" s="13" t="n">
        <v>0.2</v>
      </c>
      <c r="N257" s="12" t="n">
        <v>929.79</v>
      </c>
      <c r="O257" s="12" t="n">
        <v>260.73</v>
      </c>
      <c r="P257" s="8" t="str">
        <f aca="false">TEXT(B257,"mmm-yyyy")</f>
        <v>Nov-2023</v>
      </c>
      <c r="Q257" s="14" t="n">
        <f aca="false">IFERROR(O257/N257,"")</f>
        <v>0.280418158939115</v>
      </c>
      <c r="R257" s="8" t="str">
        <f aca="false">IF(OR(N257&gt;$U$3,N257&lt;$U$2),"Sales Outlier",IF(OR(O257&gt;$U$6,O257&lt;$U$4),"Profit Outlier",""))</f>
        <v/>
      </c>
    </row>
    <row r="258" customFormat="false" ht="15" hidden="false" customHeight="true" outlineLevel="0" collapsed="false">
      <c r="A258" s="8" t="s">
        <v>2134</v>
      </c>
      <c r="B258" s="11" t="n">
        <v>45246</v>
      </c>
      <c r="C258" s="11" t="n">
        <v>45253</v>
      </c>
      <c r="D258" s="8" t="s">
        <v>2137</v>
      </c>
      <c r="E258" s="8" t="s">
        <v>34</v>
      </c>
      <c r="F258" s="8" t="s">
        <v>154</v>
      </c>
      <c r="G258" s="8" t="s">
        <v>102</v>
      </c>
      <c r="H258" s="8" t="s">
        <v>132</v>
      </c>
      <c r="I258" s="8" t="s">
        <v>241</v>
      </c>
      <c r="J258" s="8" t="s">
        <v>29</v>
      </c>
      <c r="K258" s="8" t="n">
        <v>5</v>
      </c>
      <c r="L258" s="12" t="n">
        <v>237.17</v>
      </c>
      <c r="M258" s="13" t="n">
        <v>0.2</v>
      </c>
      <c r="N258" s="12" t="n">
        <v>948.68</v>
      </c>
      <c r="O258" s="12" t="n">
        <v>318.92</v>
      </c>
      <c r="P258" s="8" t="str">
        <f aca="false">TEXT(B258,"mmm-yyyy")</f>
        <v>Nov-2023</v>
      </c>
      <c r="Q258" s="14" t="n">
        <f aca="false">IFERROR(O258/N258,"")</f>
        <v>0.336172365813552</v>
      </c>
      <c r="R258" s="8" t="str">
        <f aca="false">IF(OR(N258&gt;$U$3,N258&lt;$U$2),"Sales Outlier",IF(OR(O258&gt;$U$6,O258&lt;$U$4),"Profit Outlier",""))</f>
        <v/>
      </c>
    </row>
    <row r="259" customFormat="false" ht="15" hidden="false" customHeight="true" outlineLevel="0" collapsed="false">
      <c r="A259" s="8" t="s">
        <v>434</v>
      </c>
      <c r="B259" s="11" t="n">
        <v>45247</v>
      </c>
      <c r="C259" s="11" t="n">
        <v>45248</v>
      </c>
      <c r="D259" s="8" t="s">
        <v>436</v>
      </c>
      <c r="E259" s="8" t="s">
        <v>52</v>
      </c>
      <c r="F259" s="8" t="s">
        <v>154</v>
      </c>
      <c r="G259" s="8" t="s">
        <v>102</v>
      </c>
      <c r="H259" s="8" t="s">
        <v>132</v>
      </c>
      <c r="I259" s="8" t="s">
        <v>220</v>
      </c>
      <c r="J259" s="8" t="s">
        <v>64</v>
      </c>
      <c r="K259" s="8" t="n">
        <v>5</v>
      </c>
      <c r="L259" s="12" t="n">
        <v>174.45</v>
      </c>
      <c r="M259" s="13" t="n">
        <v>0</v>
      </c>
      <c r="N259" s="12" t="n">
        <v>872.25</v>
      </c>
      <c r="O259" s="12" t="n">
        <v>153.36</v>
      </c>
      <c r="P259" s="8" t="str">
        <f aca="false">TEXT(B259,"mmm-yyyy")</f>
        <v>Nov-2023</v>
      </c>
      <c r="Q259" s="14" t="n">
        <f aca="false">IFERROR(O259/N259,"")</f>
        <v>0.175821152192605</v>
      </c>
      <c r="R259" s="8" t="str">
        <f aca="false">IF(OR(N259&gt;$U$3,N259&lt;$U$2),"Sales Outlier",IF(OR(O259&gt;$U$6,O259&lt;$U$4),"Profit Outlier",""))</f>
        <v/>
      </c>
    </row>
    <row r="260" customFormat="false" ht="15" hidden="false" customHeight="true" outlineLevel="0" collapsed="false">
      <c r="A260" s="8" t="s">
        <v>1189</v>
      </c>
      <c r="B260" s="11" t="n">
        <v>45248</v>
      </c>
      <c r="C260" s="11" t="n">
        <v>45254</v>
      </c>
      <c r="D260" s="8" t="s">
        <v>1192</v>
      </c>
      <c r="E260" s="8" t="s">
        <v>52</v>
      </c>
      <c r="F260" s="8" t="s">
        <v>154</v>
      </c>
      <c r="G260" s="8" t="s">
        <v>182</v>
      </c>
      <c r="H260" s="8" t="s">
        <v>77</v>
      </c>
      <c r="I260" s="8" t="s">
        <v>78</v>
      </c>
      <c r="J260" s="8" t="s">
        <v>47</v>
      </c>
      <c r="K260" s="8" t="n">
        <v>3</v>
      </c>
      <c r="L260" s="12" t="n">
        <v>1012.47</v>
      </c>
      <c r="M260" s="13" t="n">
        <v>0.2</v>
      </c>
      <c r="N260" s="12" t="n">
        <v>2429.93</v>
      </c>
      <c r="O260" s="12" t="n">
        <v>134.57</v>
      </c>
      <c r="P260" s="8" t="str">
        <f aca="false">TEXT(B260,"mmm-yyyy")</f>
        <v>Nov-2023</v>
      </c>
      <c r="Q260" s="14" t="n">
        <f aca="false">IFERROR(O260/N260,"")</f>
        <v>0.0553801961373373</v>
      </c>
      <c r="R260" s="8" t="str">
        <f aca="false">IF(OR(N260&gt;$U$3,N260&lt;$U$2),"Sales Outlier",IF(OR(O260&gt;$U$6,O260&lt;$U$4),"Profit Outlier",""))</f>
        <v/>
      </c>
    </row>
    <row r="261" customFormat="false" ht="15" hidden="false" customHeight="true" outlineLevel="0" collapsed="false">
      <c r="A261" s="8" t="s">
        <v>1424</v>
      </c>
      <c r="B261" s="11" t="n">
        <v>45248</v>
      </c>
      <c r="C261" s="11" t="n">
        <v>45253</v>
      </c>
      <c r="D261" s="8" t="s">
        <v>460</v>
      </c>
      <c r="E261" s="8" t="s">
        <v>24</v>
      </c>
      <c r="F261" s="8" t="s">
        <v>126</v>
      </c>
      <c r="G261" s="8" t="s">
        <v>89</v>
      </c>
      <c r="H261" s="8" t="s">
        <v>114</v>
      </c>
      <c r="I261" s="8" t="s">
        <v>96</v>
      </c>
      <c r="J261" s="8" t="s">
        <v>29</v>
      </c>
      <c r="K261" s="8" t="n">
        <v>5</v>
      </c>
      <c r="L261" s="12" t="n">
        <v>244.09</v>
      </c>
      <c r="M261" s="13" t="n">
        <v>0.1</v>
      </c>
      <c r="N261" s="12" t="n">
        <v>1098.4</v>
      </c>
      <c r="O261" s="12" t="n">
        <v>229.11</v>
      </c>
      <c r="P261" s="8" t="str">
        <f aca="false">TEXT(B261,"mmm-yyyy")</f>
        <v>Nov-2023</v>
      </c>
      <c r="Q261" s="14" t="n">
        <f aca="false">IFERROR(O261/N261,"")</f>
        <v>0.208585214857975</v>
      </c>
      <c r="R261" s="8" t="str">
        <f aca="false">IF(OR(N261&gt;$U$3,N261&lt;$U$2),"Sales Outlier",IF(OR(O261&gt;$U$6,O261&lt;$U$4),"Profit Outlier",""))</f>
        <v/>
      </c>
    </row>
    <row r="262" customFormat="false" ht="15" hidden="false" customHeight="true" outlineLevel="0" collapsed="false">
      <c r="A262" s="8" t="s">
        <v>1317</v>
      </c>
      <c r="B262" s="11" t="n">
        <v>45248</v>
      </c>
      <c r="C262" s="11" t="n">
        <v>45254</v>
      </c>
      <c r="D262" s="8" t="s">
        <v>964</v>
      </c>
      <c r="E262" s="8" t="s">
        <v>24</v>
      </c>
      <c r="F262" s="8" t="s">
        <v>147</v>
      </c>
      <c r="G262" s="8" t="s">
        <v>326</v>
      </c>
      <c r="H262" s="8" t="s">
        <v>77</v>
      </c>
      <c r="I262" s="8" t="s">
        <v>71</v>
      </c>
      <c r="J262" s="8" t="s">
        <v>47</v>
      </c>
      <c r="K262" s="8" t="n">
        <v>2</v>
      </c>
      <c r="L262" s="12" t="n">
        <v>826.37</v>
      </c>
      <c r="M262" s="13" t="n">
        <v>0.15</v>
      </c>
      <c r="N262" s="12" t="n">
        <v>1404.83</v>
      </c>
      <c r="O262" s="12" t="n">
        <v>218.15</v>
      </c>
      <c r="P262" s="8" t="str">
        <f aca="false">TEXT(B262,"mmm-yyyy")</f>
        <v>Nov-2023</v>
      </c>
      <c r="Q262" s="14" t="n">
        <f aca="false">IFERROR(O262/N262,"")</f>
        <v>0.155285692930817</v>
      </c>
      <c r="R262" s="8" t="str">
        <f aca="false">IF(OR(N262&gt;$U$3,N262&lt;$U$2),"Sales Outlier",IF(OR(O262&gt;$U$6,O262&lt;$U$4),"Profit Outlier",""))</f>
        <v/>
      </c>
    </row>
    <row r="263" customFormat="false" ht="15" hidden="false" customHeight="true" outlineLevel="0" collapsed="false">
      <c r="A263" s="8" t="s">
        <v>1560</v>
      </c>
      <c r="B263" s="11" t="n">
        <v>45250</v>
      </c>
      <c r="C263" s="11" t="n">
        <v>45255</v>
      </c>
      <c r="D263" s="8" t="s">
        <v>1562</v>
      </c>
      <c r="E263" s="8" t="s">
        <v>34</v>
      </c>
      <c r="F263" s="8" t="s">
        <v>61</v>
      </c>
      <c r="G263" s="8" t="s">
        <v>76</v>
      </c>
      <c r="H263" s="8" t="s">
        <v>77</v>
      </c>
      <c r="I263" s="8" t="s">
        <v>121</v>
      </c>
      <c r="J263" s="8" t="s">
        <v>29</v>
      </c>
      <c r="K263" s="8" t="n">
        <v>2</v>
      </c>
      <c r="L263" s="12" t="n">
        <v>916.33</v>
      </c>
      <c r="M263" s="13" t="n">
        <v>0.15</v>
      </c>
      <c r="N263" s="12" t="n">
        <v>6212.69</v>
      </c>
      <c r="O263" s="12" t="n">
        <v>-95.67</v>
      </c>
      <c r="P263" s="8" t="str">
        <f aca="false">TEXT(B263,"mmm-yyyy")</f>
        <v>Nov-2023</v>
      </c>
      <c r="Q263" s="14" t="n">
        <f aca="false">IFERROR(O263/N263,"")</f>
        <v>-0.0153991266263084</v>
      </c>
      <c r="R263" s="8" t="str">
        <f aca="false">IF(OR(N263&gt;$U$3,N263&lt;$U$2),"Sales Outlier",IF(OR(O263&gt;$U$6,O263&lt;$U$4),"Profit Outlier",""))</f>
        <v/>
      </c>
    </row>
    <row r="264" customFormat="false" ht="15" hidden="false" customHeight="true" outlineLevel="0" collapsed="false">
      <c r="A264" s="8" t="s">
        <v>2209</v>
      </c>
      <c r="B264" s="11" t="n">
        <v>45251</v>
      </c>
      <c r="C264" s="11" t="n">
        <v>45255</v>
      </c>
      <c r="D264" s="8" t="s">
        <v>342</v>
      </c>
      <c r="E264" s="8" t="s">
        <v>24</v>
      </c>
      <c r="F264" s="8" t="s">
        <v>154</v>
      </c>
      <c r="G264" s="8" t="s">
        <v>119</v>
      </c>
      <c r="H264" s="8" t="s">
        <v>77</v>
      </c>
      <c r="I264" s="8" t="s">
        <v>425</v>
      </c>
      <c r="J264" s="8" t="s">
        <v>29</v>
      </c>
      <c r="K264" s="8" t="n">
        <v>1</v>
      </c>
      <c r="L264" s="12" t="n">
        <v>1048.67</v>
      </c>
      <c r="M264" s="13" t="n">
        <v>0</v>
      </c>
      <c r="N264" s="12" t="n">
        <v>1048.67</v>
      </c>
      <c r="O264" s="12" t="n">
        <v>174.94</v>
      </c>
      <c r="P264" s="8" t="str">
        <f aca="false">TEXT(B264,"mmm-yyyy")</f>
        <v>Nov-2023</v>
      </c>
      <c r="Q264" s="14" t="n">
        <f aca="false">IFERROR(O264/N264,"")</f>
        <v>0.166820830194437</v>
      </c>
      <c r="R264" s="8" t="str">
        <f aca="false">IF(OR(N264&gt;$U$3,N264&lt;$U$2),"Sales Outlier",IF(OR(O264&gt;$U$6,O264&lt;$U$4),"Profit Outlier",""))</f>
        <v/>
      </c>
    </row>
    <row r="265" customFormat="false" ht="15" hidden="false" customHeight="true" outlineLevel="0" collapsed="false">
      <c r="A265" s="8" t="s">
        <v>2142</v>
      </c>
      <c r="B265" s="11" t="n">
        <v>45251</v>
      </c>
      <c r="C265" s="11" t="n">
        <v>45257</v>
      </c>
      <c r="D265" s="8" t="s">
        <v>2145</v>
      </c>
      <c r="E265" s="8" t="s">
        <v>2285</v>
      </c>
      <c r="F265" s="8" t="s">
        <v>61</v>
      </c>
      <c r="G265" s="8" t="s">
        <v>62</v>
      </c>
      <c r="H265" s="8" t="s">
        <v>114</v>
      </c>
      <c r="I265" s="8" t="s">
        <v>201</v>
      </c>
      <c r="J265" s="8" t="s">
        <v>47</v>
      </c>
      <c r="K265" s="8" t="n">
        <v>1</v>
      </c>
      <c r="L265" s="12" t="n">
        <v>402.53</v>
      </c>
      <c r="M265" s="13" t="n">
        <v>0</v>
      </c>
      <c r="N265" s="12" t="n">
        <v>402.53</v>
      </c>
      <c r="O265" s="12" t="n">
        <v>111.49</v>
      </c>
      <c r="P265" s="8" t="str">
        <f aca="false">TEXT(B265,"mmm-yyyy")</f>
        <v>Nov-2023</v>
      </c>
      <c r="Q265" s="14" t="n">
        <f aca="false">IFERROR(O265/N265,"")</f>
        <v>0.276973144858768</v>
      </c>
      <c r="R265" s="8" t="str">
        <f aca="false">IF(OR(N265&gt;$U$3,N265&lt;$U$2),"Sales Outlier",IF(OR(O265&gt;$U$6,O265&lt;$U$4),"Profit Outlier",""))</f>
        <v/>
      </c>
    </row>
    <row r="266" customFormat="false" ht="15" hidden="false" customHeight="true" outlineLevel="0" collapsed="false">
      <c r="A266" s="8" t="s">
        <v>2175</v>
      </c>
      <c r="B266" s="11" t="n">
        <v>45251</v>
      </c>
      <c r="C266" s="11" t="n">
        <v>45255</v>
      </c>
      <c r="D266" s="8" t="s">
        <v>2008</v>
      </c>
      <c r="E266" s="8" t="s">
        <v>24</v>
      </c>
      <c r="F266" s="8" t="s">
        <v>61</v>
      </c>
      <c r="G266" s="8" t="s">
        <v>62</v>
      </c>
      <c r="H266" s="8" t="s">
        <v>77</v>
      </c>
      <c r="I266" s="8" t="s">
        <v>121</v>
      </c>
      <c r="J266" s="8" t="s">
        <v>47</v>
      </c>
      <c r="K266" s="8" t="n">
        <v>5</v>
      </c>
      <c r="L266" s="12" t="n">
        <v>33.75</v>
      </c>
      <c r="M266" s="13" t="n">
        <v>0.2</v>
      </c>
      <c r="N266" s="12" t="n">
        <v>135</v>
      </c>
      <c r="O266" s="12" t="n">
        <v>33.17</v>
      </c>
      <c r="P266" s="8" t="str">
        <f aca="false">TEXT(B266,"mmm-yyyy")</f>
        <v>Nov-2023</v>
      </c>
      <c r="Q266" s="14" t="n">
        <f aca="false">IFERROR(O266/N266,"")</f>
        <v>0.245703703703704</v>
      </c>
      <c r="R266" s="8" t="str">
        <f aca="false">IF(OR(N266&gt;$U$3,N266&lt;$U$2),"Sales Outlier",IF(OR(O266&gt;$U$6,O266&lt;$U$4),"Profit Outlier",""))</f>
        <v/>
      </c>
    </row>
    <row r="267" customFormat="false" ht="15" hidden="false" customHeight="true" outlineLevel="0" collapsed="false">
      <c r="A267" s="8" t="s">
        <v>253</v>
      </c>
      <c r="B267" s="11" t="n">
        <v>45252</v>
      </c>
      <c r="C267" s="11" t="n">
        <v>45259</v>
      </c>
      <c r="D267" s="8" t="s">
        <v>256</v>
      </c>
      <c r="E267" s="8" t="s">
        <v>2285</v>
      </c>
      <c r="F267" s="8" t="s">
        <v>61</v>
      </c>
      <c r="G267" s="8" t="s">
        <v>62</v>
      </c>
      <c r="H267" s="8" t="s">
        <v>45</v>
      </c>
      <c r="I267" s="8" t="s">
        <v>149</v>
      </c>
      <c r="J267" s="8" t="s">
        <v>39</v>
      </c>
      <c r="K267" s="8" t="n">
        <v>1</v>
      </c>
      <c r="L267" s="12" t="n">
        <v>1076.4</v>
      </c>
      <c r="M267" s="13" t="n">
        <v>0.05</v>
      </c>
      <c r="N267" s="12" t="n">
        <v>1022.58</v>
      </c>
      <c r="O267" s="12" t="n">
        <v>170.3</v>
      </c>
      <c r="P267" s="8" t="str">
        <f aca="false">TEXT(B267,"mmm-yyyy")</f>
        <v>Nov-2023</v>
      </c>
      <c r="Q267" s="14" t="n">
        <f aca="false">IFERROR(O267/N267,"")</f>
        <v>0.166539537248919</v>
      </c>
      <c r="R267" s="8" t="str">
        <f aca="false">IF(OR(N267&gt;$U$3,N267&lt;$U$2),"Sales Outlier",IF(OR(O267&gt;$U$6,O267&lt;$U$4),"Profit Outlier",""))</f>
        <v/>
      </c>
    </row>
    <row r="268" customFormat="false" ht="15" hidden="false" customHeight="true" outlineLevel="0" collapsed="false">
      <c r="A268" s="8" t="s">
        <v>97</v>
      </c>
      <c r="B268" s="11" t="n">
        <v>45254</v>
      </c>
      <c r="C268" s="11" t="n">
        <v>45255</v>
      </c>
      <c r="D268" s="8" t="s">
        <v>100</v>
      </c>
      <c r="E268" s="8" t="s">
        <v>34</v>
      </c>
      <c r="F268" s="8" t="s">
        <v>154</v>
      </c>
      <c r="G268" s="8" t="s">
        <v>102</v>
      </c>
      <c r="H268" s="8" t="s">
        <v>132</v>
      </c>
      <c r="I268" s="8" t="s">
        <v>104</v>
      </c>
      <c r="J268" s="8" t="s">
        <v>47</v>
      </c>
      <c r="K268" s="8" t="n">
        <v>2</v>
      </c>
      <c r="L268" s="12" t="n">
        <v>1071.37</v>
      </c>
      <c r="M268" s="13" t="n">
        <v>0</v>
      </c>
      <c r="N268" s="12" t="n">
        <v>2142.74</v>
      </c>
      <c r="O268" s="12" t="n">
        <v>267.54</v>
      </c>
      <c r="P268" s="8" t="str">
        <f aca="false">TEXT(B268,"mmm-yyyy")</f>
        <v>Nov-2023</v>
      </c>
      <c r="Q268" s="14" t="n">
        <f aca="false">IFERROR(O268/N268,"")</f>
        <v>0.1248588256158</v>
      </c>
      <c r="R268" s="8" t="str">
        <f aca="false">IF(OR(N268&gt;$U$3,N268&lt;$U$2),"Sales Outlier",IF(OR(O268&gt;$U$6,O268&lt;$U$4),"Profit Outlier",""))</f>
        <v/>
      </c>
    </row>
    <row r="269" customFormat="false" ht="15" hidden="false" customHeight="true" outlineLevel="0" collapsed="false">
      <c r="A269" s="8" t="s">
        <v>1421</v>
      </c>
      <c r="B269" s="11" t="n">
        <v>45256</v>
      </c>
      <c r="C269" s="11" t="n">
        <v>45257</v>
      </c>
      <c r="D269" s="8" t="s">
        <v>384</v>
      </c>
      <c r="E269" s="8" t="s">
        <v>24</v>
      </c>
      <c r="F269" s="8" t="s">
        <v>126</v>
      </c>
      <c r="G269" s="8" t="s">
        <v>82</v>
      </c>
      <c r="H269" s="8" t="s">
        <v>45</v>
      </c>
      <c r="I269" s="8" t="s">
        <v>138</v>
      </c>
      <c r="J269" s="8" t="s">
        <v>47</v>
      </c>
      <c r="K269" s="8" t="n">
        <v>3</v>
      </c>
      <c r="L269" s="12" t="n">
        <v>390.51</v>
      </c>
      <c r="M269" s="13" t="n">
        <v>0</v>
      </c>
      <c r="N269" s="12" t="n">
        <v>1171.53</v>
      </c>
      <c r="O269" s="12" t="n">
        <v>-10.62</v>
      </c>
      <c r="P269" s="8" t="str">
        <f aca="false">TEXT(B269,"mmm-yyyy")</f>
        <v>Nov-2023</v>
      </c>
      <c r="Q269" s="14" t="n">
        <f aca="false">IFERROR(O269/N269,"")</f>
        <v>-0.00906506875624184</v>
      </c>
      <c r="R269" s="8" t="str">
        <f aca="false">IF(OR(N269&gt;$U$3,N269&lt;$U$2),"Sales Outlier",IF(OR(O269&gt;$U$6,O269&lt;$U$4),"Profit Outlier",""))</f>
        <v/>
      </c>
    </row>
    <row r="270" customFormat="false" ht="15" hidden="false" customHeight="true" outlineLevel="0" collapsed="false">
      <c r="A270" s="8" t="s">
        <v>30</v>
      </c>
      <c r="B270" s="11" t="n">
        <v>45256</v>
      </c>
      <c r="C270" s="11" t="n">
        <v>45259</v>
      </c>
      <c r="D270" s="8" t="s">
        <v>1195</v>
      </c>
      <c r="E270" s="8" t="s">
        <v>34</v>
      </c>
      <c r="F270" s="8" t="s">
        <v>61</v>
      </c>
      <c r="G270" s="8" t="s">
        <v>36</v>
      </c>
      <c r="H270" s="8" t="s">
        <v>37</v>
      </c>
      <c r="I270" s="8" t="s">
        <v>38</v>
      </c>
      <c r="J270" s="8" t="s">
        <v>39</v>
      </c>
      <c r="K270" s="8" t="n">
        <v>2</v>
      </c>
      <c r="L270" s="12" t="n">
        <v>331.25</v>
      </c>
      <c r="M270" s="13" t="n">
        <v>0</v>
      </c>
      <c r="N270" s="12" t="n">
        <v>331.25</v>
      </c>
      <c r="O270" s="12" t="n">
        <v>37.91</v>
      </c>
      <c r="P270" s="8" t="str">
        <f aca="false">TEXT(B270,"mmm-yyyy")</f>
        <v>Nov-2023</v>
      </c>
      <c r="Q270" s="14" t="n">
        <f aca="false">IFERROR(O270/N270,"")</f>
        <v>0.114445283018868</v>
      </c>
      <c r="R270" s="8" t="str">
        <f aca="false">IF(OR(N270&gt;$U$3,N270&lt;$U$2),"Sales Outlier",IF(OR(O270&gt;$U$6,O270&lt;$U$4),"Profit Outlier",""))</f>
        <v/>
      </c>
    </row>
    <row r="271" customFormat="false" ht="15" hidden="false" customHeight="true" outlineLevel="0" collapsed="false">
      <c r="A271" s="8" t="s">
        <v>1873</v>
      </c>
      <c r="B271" s="11" t="n">
        <v>45258</v>
      </c>
      <c r="C271" s="11" t="n">
        <v>45260</v>
      </c>
      <c r="D271" s="8" t="s">
        <v>546</v>
      </c>
      <c r="E271" s="8" t="s">
        <v>52</v>
      </c>
      <c r="F271" s="8" t="s">
        <v>126</v>
      </c>
      <c r="G271" s="8" t="s">
        <v>82</v>
      </c>
      <c r="H271" s="8" t="s">
        <v>132</v>
      </c>
      <c r="I271" s="8" t="s">
        <v>241</v>
      </c>
      <c r="J271" s="8" t="s">
        <v>39</v>
      </c>
      <c r="K271" s="8" t="n">
        <v>3</v>
      </c>
      <c r="L271" s="12" t="n">
        <v>738.04</v>
      </c>
      <c r="M271" s="13" t="n">
        <v>0</v>
      </c>
      <c r="N271" s="12" t="n">
        <v>2214.12</v>
      </c>
      <c r="O271" s="12" t="n">
        <v>271.28</v>
      </c>
      <c r="P271" s="8" t="str">
        <f aca="false">TEXT(B271,"mmm-yyyy")</f>
        <v>Nov-2023</v>
      </c>
      <c r="Q271" s="14" t="n">
        <f aca="false">IFERROR(O271/N271,"")</f>
        <v>0.122522717829205</v>
      </c>
      <c r="R271" s="8" t="str">
        <f aca="false">IF(OR(N271&gt;$U$3,N271&lt;$U$2),"Sales Outlier",IF(OR(O271&gt;$U$6,O271&lt;$U$4),"Profit Outlier",""))</f>
        <v/>
      </c>
    </row>
    <row r="272" customFormat="false" ht="15" hidden="false" customHeight="true" outlineLevel="0" collapsed="false">
      <c r="A272" s="8" t="s">
        <v>139</v>
      </c>
      <c r="B272" s="11" t="n">
        <v>45258</v>
      </c>
      <c r="C272" s="11" t="n">
        <v>45265</v>
      </c>
      <c r="D272" s="8" t="s">
        <v>2282</v>
      </c>
      <c r="E272" s="8" t="s">
        <v>52</v>
      </c>
      <c r="F272" s="8" t="s">
        <v>61</v>
      </c>
      <c r="G272" s="8" t="s">
        <v>62</v>
      </c>
      <c r="H272" s="8" t="s">
        <v>37</v>
      </c>
      <c r="I272" s="8" t="s">
        <v>143</v>
      </c>
      <c r="J272" s="8" t="s">
        <v>39</v>
      </c>
      <c r="K272" s="8" t="n">
        <v>3</v>
      </c>
      <c r="L272" s="12" t="n">
        <v>363.84</v>
      </c>
      <c r="M272" s="13" t="n">
        <v>0.2</v>
      </c>
      <c r="N272" s="12" t="n">
        <v>873.22</v>
      </c>
      <c r="O272" s="12" t="n">
        <v>68.31</v>
      </c>
      <c r="P272" s="8" t="str">
        <f aca="false">TEXT(B272,"mmm-yyyy")</f>
        <v>Nov-2023</v>
      </c>
      <c r="Q272" s="14" t="n">
        <f aca="false">IFERROR(O272/N272,"")</f>
        <v>0.078227708939328</v>
      </c>
      <c r="R272" s="8" t="str">
        <f aca="false">IF(OR(N272&gt;$U$3,N272&lt;$U$2),"Sales Outlier",IF(OR(O272&gt;$U$6,O272&lt;$U$4),"Profit Outlier",""))</f>
        <v/>
      </c>
    </row>
    <row r="273" customFormat="false" ht="15" hidden="false" customHeight="true" outlineLevel="0" collapsed="false">
      <c r="A273" s="8" t="s">
        <v>709</v>
      </c>
      <c r="B273" s="11" t="n">
        <v>45259</v>
      </c>
      <c r="C273" s="11" t="n">
        <v>45261</v>
      </c>
      <c r="D273" s="8" t="s">
        <v>711</v>
      </c>
      <c r="E273" s="8" t="s">
        <v>52</v>
      </c>
      <c r="F273" s="8" t="s">
        <v>126</v>
      </c>
      <c r="G273" s="8" t="s">
        <v>89</v>
      </c>
      <c r="H273" s="8" t="s">
        <v>114</v>
      </c>
      <c r="I273" s="8" t="s">
        <v>297</v>
      </c>
      <c r="J273" s="8" t="s">
        <v>39</v>
      </c>
      <c r="K273" s="8" t="n">
        <v>5</v>
      </c>
      <c r="L273" s="12" t="n">
        <v>406.99</v>
      </c>
      <c r="M273" s="13" t="n">
        <v>0.15</v>
      </c>
      <c r="N273" s="12" t="n">
        <v>1729.71</v>
      </c>
      <c r="O273" s="12" t="n">
        <v>-165.07</v>
      </c>
      <c r="P273" s="8" t="str">
        <f aca="false">TEXT(B273,"mmm-yyyy")</f>
        <v>Nov-2023</v>
      </c>
      <c r="Q273" s="14" t="n">
        <f aca="false">IFERROR(O273/N273,"")</f>
        <v>-0.095432182273329</v>
      </c>
      <c r="R273" s="8" t="str">
        <f aca="false">IF(OR(N273&gt;$U$3,N273&lt;$U$2),"Sales Outlier",IF(OR(O273&gt;$U$6,O273&lt;$U$4),"Profit Outlier",""))</f>
        <v/>
      </c>
    </row>
    <row r="274" customFormat="false" ht="15" hidden="false" customHeight="true" outlineLevel="0" collapsed="false">
      <c r="A274" s="8" t="s">
        <v>347</v>
      </c>
      <c r="B274" s="11" t="n">
        <v>45260</v>
      </c>
      <c r="C274" s="11" t="n">
        <v>45267</v>
      </c>
      <c r="D274" s="8" t="s">
        <v>350</v>
      </c>
      <c r="E274" s="8" t="s">
        <v>34</v>
      </c>
      <c r="F274" s="8" t="s">
        <v>61</v>
      </c>
      <c r="G274" s="8" t="s">
        <v>62</v>
      </c>
      <c r="H274" s="8" t="s">
        <v>114</v>
      </c>
      <c r="I274" s="8" t="s">
        <v>109</v>
      </c>
      <c r="J274" s="8" t="s">
        <v>29</v>
      </c>
      <c r="K274" s="8" t="n">
        <v>2</v>
      </c>
      <c r="L274" s="12" t="n">
        <v>298.55</v>
      </c>
      <c r="M274" s="13" t="n">
        <v>0</v>
      </c>
      <c r="N274" s="12" t="n">
        <v>597.1</v>
      </c>
      <c r="O274" s="12" t="n">
        <v>-23.45</v>
      </c>
      <c r="P274" s="8" t="str">
        <f aca="false">TEXT(B274,"mmm-yyyy")</f>
        <v>Nov-2023</v>
      </c>
      <c r="Q274" s="14" t="n">
        <f aca="false">IFERROR(O274/N274,"")</f>
        <v>-0.0392731535756155</v>
      </c>
      <c r="R274" s="8" t="str">
        <f aca="false">IF(OR(N274&gt;$U$3,N274&lt;$U$2),"Sales Outlier",IF(OR(O274&gt;$U$6,O274&lt;$U$4),"Profit Outlier",""))</f>
        <v/>
      </c>
    </row>
    <row r="275" customFormat="false" ht="15" hidden="false" customHeight="true" outlineLevel="0" collapsed="false">
      <c r="A275" s="8" t="s">
        <v>494</v>
      </c>
      <c r="B275" s="11" t="n">
        <v>45260</v>
      </c>
      <c r="C275" s="11" t="n">
        <v>45263</v>
      </c>
      <c r="D275" s="8" t="s">
        <v>496</v>
      </c>
      <c r="E275" s="8" t="s">
        <v>2285</v>
      </c>
      <c r="F275" s="8" t="s">
        <v>147</v>
      </c>
      <c r="G275" s="8" t="s">
        <v>326</v>
      </c>
      <c r="H275" s="8" t="s">
        <v>132</v>
      </c>
      <c r="I275" s="8" t="s">
        <v>241</v>
      </c>
      <c r="J275" s="8" t="s">
        <v>29</v>
      </c>
      <c r="K275" s="8" t="n">
        <v>2</v>
      </c>
      <c r="L275" s="12" t="n">
        <v>458.42</v>
      </c>
      <c r="M275" s="13" t="n">
        <v>0</v>
      </c>
      <c r="N275" s="12" t="n">
        <v>916.84</v>
      </c>
      <c r="O275" s="12" t="n">
        <v>49.87</v>
      </c>
      <c r="P275" s="8" t="str">
        <f aca="false">TEXT(B275,"mmm-yyyy")</f>
        <v>Nov-2023</v>
      </c>
      <c r="Q275" s="14" t="n">
        <f aca="false">IFERROR(O275/N275,"")</f>
        <v>0.054393351075433</v>
      </c>
      <c r="R275" s="8" t="str">
        <f aca="false">IF(OR(N275&gt;$U$3,N275&lt;$U$2),"Sales Outlier",IF(OR(O275&gt;$U$6,O275&lt;$U$4),"Profit Outlier",""))</f>
        <v/>
      </c>
    </row>
    <row r="276" customFormat="false" ht="15" hidden="false" customHeight="true" outlineLevel="0" collapsed="false">
      <c r="A276" s="8" t="s">
        <v>1579</v>
      </c>
      <c r="B276" s="11" t="n">
        <v>45260</v>
      </c>
      <c r="C276" s="11" t="n">
        <v>45266</v>
      </c>
      <c r="D276" s="8" t="s">
        <v>1582</v>
      </c>
      <c r="E276" s="8" t="s">
        <v>34</v>
      </c>
      <c r="F276" s="8" t="s">
        <v>147</v>
      </c>
      <c r="G276" s="8" t="s">
        <v>215</v>
      </c>
      <c r="H276" s="8" t="s">
        <v>37</v>
      </c>
      <c r="I276" s="8" t="s">
        <v>143</v>
      </c>
      <c r="J276" s="8" t="s">
        <v>29</v>
      </c>
      <c r="K276" s="8" t="n">
        <v>4</v>
      </c>
      <c r="L276" s="12" t="n">
        <v>1048.75</v>
      </c>
      <c r="M276" s="13" t="n">
        <v>0</v>
      </c>
      <c r="N276" s="12" t="n">
        <v>4195</v>
      </c>
      <c r="O276" s="12" t="n">
        <v>388.3</v>
      </c>
      <c r="P276" s="8" t="str">
        <f aca="false">TEXT(B276,"mmm-yyyy")</f>
        <v>Nov-2023</v>
      </c>
      <c r="Q276" s="14" t="n">
        <f aca="false">IFERROR(O276/N276,"")</f>
        <v>0.0925625744934446</v>
      </c>
      <c r="R276" s="8" t="str">
        <f aca="false">IF(OR(N276&gt;$U$3,N276&lt;$U$2),"Sales Outlier",IF(OR(O276&gt;$U$6,O276&lt;$U$4),"Profit Outlier",""))</f>
        <v/>
      </c>
    </row>
    <row r="277" customFormat="false" ht="15" hidden="false" customHeight="true" outlineLevel="0" collapsed="false">
      <c r="A277" s="8" t="s">
        <v>351</v>
      </c>
      <c r="B277" s="11" t="n">
        <v>45263</v>
      </c>
      <c r="C277" s="11" t="n">
        <v>45265</v>
      </c>
      <c r="D277" s="8" t="s">
        <v>354</v>
      </c>
      <c r="E277" s="8" t="s">
        <v>2285</v>
      </c>
      <c r="F277" s="8" t="s">
        <v>61</v>
      </c>
      <c r="G277" s="8" t="s">
        <v>62</v>
      </c>
      <c r="H277" s="8" t="s">
        <v>132</v>
      </c>
      <c r="I277" s="8" t="s">
        <v>133</v>
      </c>
      <c r="J277" s="8" t="s">
        <v>64</v>
      </c>
      <c r="K277" s="8" t="n">
        <v>4</v>
      </c>
      <c r="L277" s="12" t="n">
        <v>827.51</v>
      </c>
      <c r="M277" s="13" t="n">
        <v>0</v>
      </c>
      <c r="N277" s="12" t="n">
        <v>3310.04</v>
      </c>
      <c r="O277" s="12" t="n">
        <v>565.39</v>
      </c>
      <c r="P277" s="8" t="str">
        <f aca="false">TEXT(B277,"mmm-yyyy")</f>
        <v>Dec-2023</v>
      </c>
      <c r="Q277" s="14" t="n">
        <f aca="false">IFERROR(O277/N277,"")</f>
        <v>0.170810624645019</v>
      </c>
      <c r="R277" s="8" t="str">
        <f aca="false">IF(OR(N277&gt;$U$3,N277&lt;$U$2),"Sales Outlier",IF(OR(O277&gt;$U$6,O277&lt;$U$4),"Profit Outlier",""))</f>
        <v/>
      </c>
    </row>
    <row r="278" customFormat="false" ht="15" hidden="false" customHeight="true" outlineLevel="0" collapsed="false">
      <c r="A278" s="8" t="s">
        <v>1149</v>
      </c>
      <c r="B278" s="11" t="n">
        <v>45265</v>
      </c>
      <c r="C278" s="11" t="n">
        <v>45272</v>
      </c>
      <c r="D278" s="8" t="s">
        <v>785</v>
      </c>
      <c r="E278" s="8" t="s">
        <v>24</v>
      </c>
      <c r="F278" s="8" t="s">
        <v>154</v>
      </c>
      <c r="G278" s="8" t="s">
        <v>119</v>
      </c>
      <c r="H278" s="8" t="s">
        <v>37</v>
      </c>
      <c r="I278" s="8" t="s">
        <v>404</v>
      </c>
      <c r="J278" s="8" t="s">
        <v>29</v>
      </c>
      <c r="K278" s="8" t="n">
        <v>5</v>
      </c>
      <c r="L278" s="12" t="n">
        <v>734.92</v>
      </c>
      <c r="M278" s="13" t="n">
        <v>0.1</v>
      </c>
      <c r="N278" s="12" t="n">
        <v>3307.14</v>
      </c>
      <c r="O278" s="12" t="n">
        <v>565.06</v>
      </c>
      <c r="P278" s="8" t="str">
        <f aca="false">TEXT(B278,"mmm-yyyy")</f>
        <v>Dec-2023</v>
      </c>
      <c r="Q278" s="14" t="n">
        <f aca="false">IFERROR(O278/N278,"")</f>
        <v>0.170860622773756</v>
      </c>
      <c r="R278" s="8" t="str">
        <f aca="false">IF(OR(N278&gt;$U$3,N278&lt;$U$2),"Sales Outlier",IF(OR(O278&gt;$U$6,O278&lt;$U$4),"Profit Outlier",""))</f>
        <v/>
      </c>
    </row>
    <row r="279" customFormat="false" ht="15" hidden="false" customHeight="true" outlineLevel="0" collapsed="false">
      <c r="A279" s="8" t="s">
        <v>1691</v>
      </c>
      <c r="B279" s="11" t="n">
        <v>45267</v>
      </c>
      <c r="C279" s="11" t="n">
        <v>45270</v>
      </c>
      <c r="D279" s="8" t="s">
        <v>1694</v>
      </c>
      <c r="E279" s="8" t="s">
        <v>34</v>
      </c>
      <c r="F279" s="8" t="s">
        <v>154</v>
      </c>
      <c r="G279" s="8" t="s">
        <v>182</v>
      </c>
      <c r="H279" s="8" t="s">
        <v>45</v>
      </c>
      <c r="I279" s="8" t="s">
        <v>160</v>
      </c>
      <c r="J279" s="8" t="s">
        <v>64</v>
      </c>
      <c r="K279" s="8" t="n">
        <v>2</v>
      </c>
      <c r="L279" s="12" t="n">
        <v>577.88</v>
      </c>
      <c r="M279" s="13" t="n">
        <v>0</v>
      </c>
      <c r="N279" s="12" t="n">
        <v>1155.76</v>
      </c>
      <c r="O279" s="12" t="n">
        <v>404.29</v>
      </c>
      <c r="P279" s="8" t="str">
        <f aca="false">TEXT(B279,"mmm-yyyy")</f>
        <v>Dec-2023</v>
      </c>
      <c r="Q279" s="14" t="n">
        <f aca="false">IFERROR(O279/N279,"")</f>
        <v>0.349804457672873</v>
      </c>
      <c r="R279" s="8" t="str">
        <f aca="false">IF(OR(N279&gt;$U$3,N279&lt;$U$2),"Sales Outlier",IF(OR(O279&gt;$U$6,O279&lt;$U$4),"Profit Outlier",""))</f>
        <v/>
      </c>
    </row>
    <row r="280" customFormat="false" ht="15" hidden="false" customHeight="true" outlineLevel="0" collapsed="false">
      <c r="A280" s="8" t="s">
        <v>1310</v>
      </c>
      <c r="B280" s="11" t="n">
        <v>45267</v>
      </c>
      <c r="C280" s="11" t="n">
        <v>45274</v>
      </c>
      <c r="D280" s="8" t="s">
        <v>354</v>
      </c>
      <c r="E280" s="8" t="s">
        <v>24</v>
      </c>
      <c r="F280" s="8" t="s">
        <v>126</v>
      </c>
      <c r="G280" s="8" t="s">
        <v>26</v>
      </c>
      <c r="H280" s="8" t="s">
        <v>132</v>
      </c>
      <c r="I280" s="8" t="s">
        <v>56</v>
      </c>
      <c r="J280" s="8" t="s">
        <v>47</v>
      </c>
      <c r="K280" s="8" t="n">
        <v>3</v>
      </c>
      <c r="L280" s="12" t="n">
        <v>13.09</v>
      </c>
      <c r="M280" s="13" t="n">
        <v>0.15</v>
      </c>
      <c r="N280" s="12" t="n">
        <v>33.38</v>
      </c>
      <c r="O280" s="12" t="n">
        <v>1.48</v>
      </c>
      <c r="P280" s="8" t="str">
        <f aca="false">TEXT(B280,"mmm-yyyy")</f>
        <v>Dec-2023</v>
      </c>
      <c r="Q280" s="14" t="n">
        <f aca="false">IFERROR(O280/N280,"")</f>
        <v>0.0443379269023367</v>
      </c>
      <c r="R280" s="8" t="str">
        <f aca="false">IF(OR(N280&gt;$U$3,N280&lt;$U$2),"Sales Outlier",IF(OR(O280&gt;$U$6,O280&lt;$U$4),"Profit Outlier",""))</f>
        <v/>
      </c>
    </row>
    <row r="281" customFormat="false" ht="15" hidden="false" customHeight="true" outlineLevel="0" collapsed="false">
      <c r="A281" s="8" t="s">
        <v>1645</v>
      </c>
      <c r="B281" s="11" t="n">
        <v>45268</v>
      </c>
      <c r="C281" s="11" t="n">
        <v>45275</v>
      </c>
      <c r="D281" s="8" t="s">
        <v>1569</v>
      </c>
      <c r="E281" s="8" t="s">
        <v>52</v>
      </c>
      <c r="F281" s="8" t="s">
        <v>126</v>
      </c>
      <c r="G281" s="8" t="s">
        <v>89</v>
      </c>
      <c r="H281" s="8" t="s">
        <v>45</v>
      </c>
      <c r="I281" s="8" t="s">
        <v>28</v>
      </c>
      <c r="J281" s="8" t="s">
        <v>64</v>
      </c>
      <c r="K281" s="8" t="n">
        <v>1</v>
      </c>
      <c r="L281" s="12" t="n">
        <v>51.5</v>
      </c>
      <c r="M281" s="13" t="n">
        <v>0</v>
      </c>
      <c r="N281" s="12" t="n">
        <v>51.5</v>
      </c>
      <c r="O281" s="12" t="n">
        <v>2.23</v>
      </c>
      <c r="P281" s="8" t="str">
        <f aca="false">TEXT(B281,"mmm-yyyy")</f>
        <v>Dec-2023</v>
      </c>
      <c r="Q281" s="14" t="n">
        <f aca="false">IFERROR(O281/N281,"")</f>
        <v>0.0433009708737864</v>
      </c>
      <c r="R281" s="8" t="str">
        <f aca="false">IF(OR(N281&gt;$U$3,N281&lt;$U$2),"Sales Outlier",IF(OR(O281&gt;$U$6,O281&lt;$U$4),"Profit Outlier",""))</f>
        <v/>
      </c>
    </row>
    <row r="282" customFormat="false" ht="15" hidden="false" customHeight="true" outlineLevel="0" collapsed="false">
      <c r="A282" s="8" t="s">
        <v>1890</v>
      </c>
      <c r="B282" s="11" t="n">
        <v>45270</v>
      </c>
      <c r="C282" s="11" t="n">
        <v>45274</v>
      </c>
      <c r="D282" s="8" t="s">
        <v>1892</v>
      </c>
      <c r="E282" s="8" t="s">
        <v>52</v>
      </c>
      <c r="F282" s="8" t="s">
        <v>154</v>
      </c>
      <c r="G282" s="8" t="s">
        <v>182</v>
      </c>
      <c r="H282" s="8" t="s">
        <v>77</v>
      </c>
      <c r="I282" s="8" t="s">
        <v>121</v>
      </c>
      <c r="J282" s="8" t="s">
        <v>39</v>
      </c>
      <c r="K282" s="8" t="n">
        <v>2</v>
      </c>
      <c r="L282" s="12" t="n">
        <v>1071.01</v>
      </c>
      <c r="M282" s="13" t="n">
        <v>0.2</v>
      </c>
      <c r="N282" s="12" t="n">
        <v>856.81</v>
      </c>
      <c r="O282" s="12" t="n">
        <v>120.94</v>
      </c>
      <c r="P282" s="8" t="str">
        <f aca="false">TEXT(B282,"mmm-yyyy")</f>
        <v>Dec-2023</v>
      </c>
      <c r="Q282" s="14" t="n">
        <f aca="false">IFERROR(O282/N282,"")</f>
        <v>0.141151480491591</v>
      </c>
      <c r="R282" s="8" t="str">
        <f aca="false">IF(OR(N282&gt;$U$3,N282&lt;$U$2),"Sales Outlier",IF(OR(O282&gt;$U$6,O282&lt;$U$4),"Profit Outlier",""))</f>
        <v/>
      </c>
    </row>
    <row r="283" customFormat="false" ht="15" hidden="false" customHeight="true" outlineLevel="0" collapsed="false">
      <c r="A283" s="8" t="s">
        <v>1596</v>
      </c>
      <c r="B283" s="11" t="n">
        <v>45271</v>
      </c>
      <c r="C283" s="11" t="n">
        <v>45249</v>
      </c>
      <c r="D283" s="8" t="s">
        <v>363</v>
      </c>
      <c r="E283" s="8" t="s">
        <v>24</v>
      </c>
      <c r="F283" s="8" t="s">
        <v>147</v>
      </c>
      <c r="G283" s="8" t="s">
        <v>326</v>
      </c>
      <c r="H283" s="8" t="s">
        <v>37</v>
      </c>
      <c r="I283" s="8" t="s">
        <v>38</v>
      </c>
      <c r="J283" s="8" t="s">
        <v>39</v>
      </c>
      <c r="K283" s="8" t="n">
        <v>1</v>
      </c>
      <c r="L283" s="12" t="n">
        <v>1175.98</v>
      </c>
      <c r="M283" s="13" t="n">
        <v>0.2</v>
      </c>
      <c r="N283" s="12" t="n">
        <v>940.78</v>
      </c>
      <c r="O283" s="12" t="n">
        <v>-72.34</v>
      </c>
      <c r="P283" s="8" t="str">
        <f aca="false">TEXT(B283,"mmm-yyyy")</f>
        <v>Dec-2023</v>
      </c>
      <c r="Q283" s="14" t="n">
        <f aca="false">IFERROR(O283/N283,"")</f>
        <v>-0.0768936414464593</v>
      </c>
      <c r="R283" s="8" t="str">
        <f aca="false">IF(OR(N283&gt;$U$3,N283&lt;$U$2),"Sales Outlier",IF(OR(O283&gt;$U$6,O283&lt;$U$4),"Profit Outlier",""))</f>
        <v/>
      </c>
    </row>
    <row r="284" customFormat="false" ht="15" hidden="false" customHeight="true" outlineLevel="0" collapsed="false">
      <c r="A284" s="8" t="s">
        <v>1848</v>
      </c>
      <c r="B284" s="11" t="n">
        <v>45271</v>
      </c>
      <c r="C284" s="11" t="n">
        <v>45272</v>
      </c>
      <c r="D284" s="8" t="s">
        <v>1851</v>
      </c>
      <c r="E284" s="8" t="s">
        <v>34</v>
      </c>
      <c r="F284" s="8" t="s">
        <v>126</v>
      </c>
      <c r="G284" s="8" t="s">
        <v>89</v>
      </c>
      <c r="H284" s="8" t="s">
        <v>37</v>
      </c>
      <c r="I284" s="8" t="s">
        <v>38</v>
      </c>
      <c r="J284" s="8" t="s">
        <v>39</v>
      </c>
      <c r="K284" s="8" t="n">
        <v>2</v>
      </c>
      <c r="L284" s="12" t="n">
        <v>262.3</v>
      </c>
      <c r="M284" s="13" t="n">
        <v>0</v>
      </c>
      <c r="N284" s="12" t="n">
        <v>524.6</v>
      </c>
      <c r="O284" s="12" t="n">
        <v>56</v>
      </c>
      <c r="P284" s="8" t="str">
        <f aca="false">TEXT(B284,"mmm-yyyy")</f>
        <v>Dec-2023</v>
      </c>
      <c r="Q284" s="14" t="n">
        <f aca="false">IFERROR(O284/N284,"")</f>
        <v>0.106747998475029</v>
      </c>
      <c r="R284" s="8" t="str">
        <f aca="false">IF(OR(N284&gt;$U$3,N284&lt;$U$2),"Sales Outlier",IF(OR(O284&gt;$U$6,O284&lt;$U$4),"Profit Outlier",""))</f>
        <v/>
      </c>
    </row>
    <row r="285" customFormat="false" ht="15" hidden="false" customHeight="true" outlineLevel="0" collapsed="false">
      <c r="A285" s="8" t="s">
        <v>975</v>
      </c>
      <c r="B285" s="11" t="n">
        <v>45272</v>
      </c>
      <c r="C285" s="11" t="n">
        <v>45276</v>
      </c>
      <c r="D285" s="8" t="s">
        <v>978</v>
      </c>
      <c r="E285" s="8" t="s">
        <v>34</v>
      </c>
      <c r="F285" s="8" t="s">
        <v>126</v>
      </c>
      <c r="G285" s="8" t="s">
        <v>89</v>
      </c>
      <c r="H285" s="8" t="s">
        <v>114</v>
      </c>
      <c r="I285" s="8" t="s">
        <v>201</v>
      </c>
      <c r="J285" s="8" t="s">
        <v>29</v>
      </c>
      <c r="K285" s="8" t="n">
        <v>3</v>
      </c>
      <c r="L285" s="12" t="n">
        <v>566.87</v>
      </c>
      <c r="M285" s="13" t="n">
        <v>0</v>
      </c>
      <c r="N285" s="12" t="n">
        <v>1700.61</v>
      </c>
      <c r="O285" s="12" t="n">
        <v>404.76</v>
      </c>
      <c r="P285" s="8" t="str">
        <f aca="false">TEXT(B285,"mmm-yyyy")</f>
        <v>Dec-2023</v>
      </c>
      <c r="Q285" s="14" t="n">
        <f aca="false">IFERROR(O285/N285,"")</f>
        <v>0.238008714520084</v>
      </c>
      <c r="R285" s="8" t="str">
        <f aca="false">IF(OR(N285&gt;$U$3,N285&lt;$U$2),"Sales Outlier",IF(OR(O285&gt;$U$6,O285&lt;$U$4),"Profit Outlier",""))</f>
        <v/>
      </c>
    </row>
    <row r="286" customFormat="false" ht="15" hidden="false" customHeight="true" outlineLevel="0" collapsed="false">
      <c r="A286" s="8" t="s">
        <v>1363</v>
      </c>
      <c r="B286" s="11" t="n">
        <v>45276</v>
      </c>
      <c r="C286" s="11" t="n">
        <v>45279</v>
      </c>
      <c r="D286" s="8" t="s">
        <v>1065</v>
      </c>
      <c r="E286" s="8" t="s">
        <v>2285</v>
      </c>
      <c r="F286" s="8" t="s">
        <v>61</v>
      </c>
      <c r="G286" s="8" t="s">
        <v>62</v>
      </c>
      <c r="H286" s="8" t="s">
        <v>132</v>
      </c>
      <c r="I286" s="8" t="s">
        <v>63</v>
      </c>
      <c r="J286" s="8" t="s">
        <v>29</v>
      </c>
      <c r="K286" s="8" t="n">
        <v>2</v>
      </c>
      <c r="L286" s="12" t="n">
        <v>188.64</v>
      </c>
      <c r="M286" s="13" t="n">
        <v>0</v>
      </c>
      <c r="N286" s="12" t="n">
        <v>188.64</v>
      </c>
      <c r="O286" s="12" t="n">
        <v>30.79</v>
      </c>
      <c r="P286" s="8" t="str">
        <f aca="false">TEXT(B286,"mmm-yyyy")</f>
        <v>Dec-2023</v>
      </c>
      <c r="Q286" s="14" t="n">
        <f aca="false">IFERROR(O286/N286,"")</f>
        <v>0.163220949957591</v>
      </c>
      <c r="R286" s="8" t="str">
        <f aca="false">IF(OR(N286&gt;$U$3,N286&lt;$U$2),"Sales Outlier",IF(OR(O286&gt;$U$6,O286&lt;$U$4),"Profit Outlier",""))</f>
        <v/>
      </c>
    </row>
    <row r="287" customFormat="false" ht="15" hidden="false" customHeight="true" outlineLevel="0" collapsed="false">
      <c r="A287" s="8" t="s">
        <v>992</v>
      </c>
      <c r="B287" s="11" t="n">
        <v>45276</v>
      </c>
      <c r="C287" s="11" t="n">
        <v>45280</v>
      </c>
      <c r="D287" s="8" t="s">
        <v>995</v>
      </c>
      <c r="E287" s="8" t="s">
        <v>24</v>
      </c>
      <c r="F287" s="8" t="s">
        <v>61</v>
      </c>
      <c r="G287" s="8" t="s">
        <v>76</v>
      </c>
      <c r="H287" s="8" t="s">
        <v>37</v>
      </c>
      <c r="I287" s="8" t="s">
        <v>84</v>
      </c>
      <c r="J287" s="8" t="s">
        <v>39</v>
      </c>
      <c r="K287" s="8" t="n">
        <v>1</v>
      </c>
      <c r="L287" s="12" t="n">
        <v>919.41</v>
      </c>
      <c r="M287" s="13" t="n">
        <v>0</v>
      </c>
      <c r="N287" s="12" t="n">
        <v>919.41</v>
      </c>
      <c r="O287" s="12" t="n">
        <v>5.13</v>
      </c>
      <c r="P287" s="8" t="str">
        <f aca="false">TEXT(B287,"mmm-yyyy")</f>
        <v>Dec-2023</v>
      </c>
      <c r="Q287" s="14" t="n">
        <f aca="false">IFERROR(O287/N287,"")</f>
        <v>0.0055796652200868</v>
      </c>
      <c r="R287" s="8" t="str">
        <f aca="false">IF(OR(N287&gt;$U$3,N287&lt;$U$2),"Sales Outlier",IF(OR(O287&gt;$U$6,O287&lt;$U$4),"Profit Outlier",""))</f>
        <v/>
      </c>
    </row>
    <row r="288" customFormat="false" ht="15" hidden="false" customHeight="true" outlineLevel="0" collapsed="false">
      <c r="A288" s="8" t="s">
        <v>1289</v>
      </c>
      <c r="B288" s="11" t="n">
        <v>45277</v>
      </c>
      <c r="C288" s="11" t="n">
        <v>45282</v>
      </c>
      <c r="D288" s="8" t="s">
        <v>1291</v>
      </c>
      <c r="E288" s="8" t="s">
        <v>52</v>
      </c>
      <c r="F288" s="8" t="s">
        <v>126</v>
      </c>
      <c r="G288" s="8" t="s">
        <v>89</v>
      </c>
      <c r="H288" s="8" t="s">
        <v>114</v>
      </c>
      <c r="I288" s="8" t="s">
        <v>297</v>
      </c>
      <c r="J288" s="8" t="s">
        <v>39</v>
      </c>
      <c r="K288" s="8" t="n">
        <v>1</v>
      </c>
      <c r="L288" s="12" t="n">
        <v>100.56</v>
      </c>
      <c r="M288" s="13" t="n">
        <v>0.15</v>
      </c>
      <c r="N288" s="12" t="n">
        <v>85.48</v>
      </c>
      <c r="O288" s="12" t="n">
        <v>17.03</v>
      </c>
      <c r="P288" s="8" t="str">
        <f aca="false">TEXT(B288,"mmm-yyyy")</f>
        <v>Dec-2023</v>
      </c>
      <c r="Q288" s="14" t="n">
        <f aca="false">IFERROR(O288/N288,"")</f>
        <v>0.199227889564811</v>
      </c>
      <c r="R288" s="8" t="str">
        <f aca="false">IF(OR(N288&gt;$U$3,N288&lt;$U$2),"Sales Outlier",IF(OR(O288&gt;$U$6,O288&lt;$U$4),"Profit Outlier",""))</f>
        <v/>
      </c>
    </row>
    <row r="289" customFormat="false" ht="15" hidden="false" customHeight="true" outlineLevel="0" collapsed="false">
      <c r="A289" s="8" t="s">
        <v>72</v>
      </c>
      <c r="B289" s="11" t="n">
        <v>45277</v>
      </c>
      <c r="C289" s="11" t="n">
        <v>45284</v>
      </c>
      <c r="D289" s="8" t="s">
        <v>1240</v>
      </c>
      <c r="E289" s="8" t="s">
        <v>24</v>
      </c>
      <c r="F289" s="8" t="s">
        <v>61</v>
      </c>
      <c r="G289" s="8" t="s">
        <v>76</v>
      </c>
      <c r="H289" s="8" t="s">
        <v>77</v>
      </c>
      <c r="I289" s="8" t="s">
        <v>78</v>
      </c>
      <c r="J289" s="8" t="s">
        <v>29</v>
      </c>
      <c r="K289" s="8" t="n">
        <v>2</v>
      </c>
      <c r="L289" s="12" t="n">
        <v>797.58</v>
      </c>
      <c r="M289" s="13" t="n">
        <v>0</v>
      </c>
      <c r="N289" s="12" t="n">
        <v>797.58</v>
      </c>
      <c r="O289" s="12" t="n">
        <v>1.76</v>
      </c>
      <c r="P289" s="8" t="str">
        <f aca="false">TEXT(B289,"mmm-yyyy")</f>
        <v>Dec-2023</v>
      </c>
      <c r="Q289" s="14" t="n">
        <f aca="false">IFERROR(O289/N289,"")</f>
        <v>0.00220667519245718</v>
      </c>
      <c r="R289" s="8" t="str">
        <f aca="false">IF(OR(N289&gt;$U$3,N289&lt;$U$2),"Sales Outlier",IF(OR(O289&gt;$U$6,O289&lt;$U$4),"Profit Outlier",""))</f>
        <v/>
      </c>
    </row>
    <row r="290" customFormat="false" ht="15" hidden="false" customHeight="true" outlineLevel="0" collapsed="false">
      <c r="A290" s="8" t="s">
        <v>1041</v>
      </c>
      <c r="B290" s="11" t="n">
        <v>45279</v>
      </c>
      <c r="C290" s="11" t="n">
        <v>45284</v>
      </c>
      <c r="D290" s="8" t="s">
        <v>853</v>
      </c>
      <c r="E290" s="8" t="s">
        <v>2285</v>
      </c>
      <c r="F290" s="8" t="s">
        <v>147</v>
      </c>
      <c r="G290" s="8" t="s">
        <v>326</v>
      </c>
      <c r="H290" s="8" t="s">
        <v>77</v>
      </c>
      <c r="I290" s="8" t="s">
        <v>425</v>
      </c>
      <c r="J290" s="8" t="s">
        <v>29</v>
      </c>
      <c r="K290" s="8" t="n">
        <v>4</v>
      </c>
      <c r="L290" s="12" t="n">
        <v>421.23</v>
      </c>
      <c r="M290" s="13" t="n">
        <v>0.1</v>
      </c>
      <c r="N290" s="12" t="n">
        <v>1516.43</v>
      </c>
      <c r="O290" s="12" t="n">
        <v>-52.14</v>
      </c>
      <c r="P290" s="8" t="str">
        <f aca="false">TEXT(B290,"mmm-yyyy")</f>
        <v>Dec-2023</v>
      </c>
      <c r="Q290" s="14" t="n">
        <f aca="false">IFERROR(O290/N290,"")</f>
        <v>-0.0343833872977981</v>
      </c>
      <c r="R290" s="8" t="str">
        <f aca="false">IF(OR(N290&gt;$U$3,N290&lt;$U$2),"Sales Outlier",IF(OR(O290&gt;$U$6,O290&lt;$U$4),"Profit Outlier",""))</f>
        <v/>
      </c>
    </row>
    <row r="291" customFormat="false" ht="15" hidden="false" customHeight="true" outlineLevel="0" collapsed="false">
      <c r="A291" s="8" t="s">
        <v>1179</v>
      </c>
      <c r="B291" s="11" t="n">
        <v>45279</v>
      </c>
      <c r="C291" s="11" t="n">
        <v>45285</v>
      </c>
      <c r="D291" s="8" t="s">
        <v>2300</v>
      </c>
      <c r="E291" s="8" t="s">
        <v>2285</v>
      </c>
      <c r="F291" s="8" t="s">
        <v>61</v>
      </c>
      <c r="G291" s="8" t="s">
        <v>76</v>
      </c>
      <c r="H291" s="8" t="s">
        <v>37</v>
      </c>
      <c r="I291" s="8" t="s">
        <v>527</v>
      </c>
      <c r="J291" s="8" t="s">
        <v>47</v>
      </c>
      <c r="K291" s="8" t="n">
        <v>1</v>
      </c>
      <c r="L291" s="12" t="n">
        <v>78.64</v>
      </c>
      <c r="M291" s="13" t="n">
        <v>0.15</v>
      </c>
      <c r="N291" s="12" t="n">
        <v>66.84</v>
      </c>
      <c r="O291" s="12" t="n">
        <v>22.71</v>
      </c>
      <c r="P291" s="8" t="str">
        <f aca="false">TEXT(B291,"mmm-yyyy")</f>
        <v>Dec-2023</v>
      </c>
      <c r="Q291" s="14" t="n">
        <f aca="false">IFERROR(O291/N291,"")</f>
        <v>0.339766606822262</v>
      </c>
      <c r="R291" s="8" t="str">
        <f aca="false">IF(OR(N291&gt;$U$3,N291&lt;$U$2),"Sales Outlier",IF(OR(O291&gt;$U$6,O291&lt;$U$4),"Profit Outlier",""))</f>
        <v/>
      </c>
    </row>
    <row r="292" customFormat="false" ht="15" hidden="false" customHeight="true" outlineLevel="0" collapsed="false">
      <c r="A292" s="8" t="s">
        <v>483</v>
      </c>
      <c r="B292" s="11" t="n">
        <v>45280</v>
      </c>
      <c r="C292" s="11" t="n">
        <v>45284</v>
      </c>
      <c r="D292" s="8" t="s">
        <v>486</v>
      </c>
      <c r="E292" s="8" t="s">
        <v>2285</v>
      </c>
      <c r="F292" s="8" t="s">
        <v>61</v>
      </c>
      <c r="G292" s="8" t="s">
        <v>76</v>
      </c>
      <c r="H292" s="8" t="s">
        <v>45</v>
      </c>
      <c r="I292" s="8" t="s">
        <v>138</v>
      </c>
      <c r="J292" s="8" t="s">
        <v>47</v>
      </c>
      <c r="K292" s="8" t="n">
        <v>4</v>
      </c>
      <c r="L292" s="12" t="n">
        <v>1034.47</v>
      </c>
      <c r="M292" s="13" t="n">
        <v>0.1</v>
      </c>
      <c r="N292" s="12" t="n">
        <v>3724.09</v>
      </c>
      <c r="O292" s="12" t="n">
        <v>75.83</v>
      </c>
      <c r="P292" s="8" t="str">
        <f aca="false">TEXT(B292,"mmm-yyyy")</f>
        <v>Dec-2023</v>
      </c>
      <c r="Q292" s="14" t="n">
        <f aca="false">IFERROR(O292/N292,"")</f>
        <v>0.0203620213260152</v>
      </c>
      <c r="R292" s="8" t="str">
        <f aca="false">IF(OR(N292&gt;$U$3,N292&lt;$U$2),"Sales Outlier",IF(OR(O292&gt;$U$6,O292&lt;$U$4),"Profit Outlier",""))</f>
        <v/>
      </c>
    </row>
    <row r="293" customFormat="false" ht="15" hidden="false" customHeight="true" outlineLevel="0" collapsed="false">
      <c r="A293" s="8" t="s">
        <v>2129</v>
      </c>
      <c r="B293" s="11" t="n">
        <v>45281</v>
      </c>
      <c r="C293" s="11" t="n">
        <v>45286</v>
      </c>
      <c r="D293" s="8" t="s">
        <v>2131</v>
      </c>
      <c r="E293" s="8" t="s">
        <v>52</v>
      </c>
      <c r="F293" s="8" t="s">
        <v>61</v>
      </c>
      <c r="G293" s="8" t="s">
        <v>76</v>
      </c>
      <c r="H293" s="8" t="s">
        <v>114</v>
      </c>
      <c r="I293" s="8" t="s">
        <v>109</v>
      </c>
      <c r="J293" s="8" t="s">
        <v>39</v>
      </c>
      <c r="K293" s="8" t="n">
        <v>4</v>
      </c>
      <c r="L293" s="12" t="n">
        <v>1122.01</v>
      </c>
      <c r="M293" s="13" t="n">
        <v>0.05</v>
      </c>
      <c r="N293" s="12" t="n">
        <v>4263.64</v>
      </c>
      <c r="O293" s="12" t="n">
        <v>772.83</v>
      </c>
      <c r="P293" s="8" t="str">
        <f aca="false">TEXT(B293,"mmm-yyyy")</f>
        <v>Dec-2023</v>
      </c>
      <c r="Q293" s="14" t="n">
        <f aca="false">IFERROR(O293/N293,"")</f>
        <v>0.181260612997345</v>
      </c>
      <c r="R293" s="8" t="str">
        <f aca="false">IF(OR(N293&gt;$U$3,N293&lt;$U$2),"Sales Outlier",IF(OR(O293&gt;$U$6,O293&lt;$U$4),"Profit Outlier",""))</f>
        <v/>
      </c>
    </row>
    <row r="294" customFormat="false" ht="15" hidden="false" customHeight="true" outlineLevel="0" collapsed="false">
      <c r="A294" s="8" t="s">
        <v>1312</v>
      </c>
      <c r="B294" s="11" t="n">
        <v>45281</v>
      </c>
      <c r="C294" s="11" t="n">
        <v>45285</v>
      </c>
      <c r="D294" s="8" t="s">
        <v>113</v>
      </c>
      <c r="E294" s="8" t="s">
        <v>52</v>
      </c>
      <c r="F294" s="8" t="s">
        <v>154</v>
      </c>
      <c r="G294" s="8" t="s">
        <v>182</v>
      </c>
      <c r="H294" s="8" t="s">
        <v>37</v>
      </c>
      <c r="I294" s="8" t="s">
        <v>143</v>
      </c>
      <c r="J294" s="8" t="s">
        <v>39</v>
      </c>
      <c r="K294" s="8" t="n">
        <v>3</v>
      </c>
      <c r="L294" s="12" t="n">
        <v>1146.6</v>
      </c>
      <c r="M294" s="13" t="n">
        <v>0</v>
      </c>
      <c r="N294" s="12" t="n">
        <v>3439.8</v>
      </c>
      <c r="O294" s="12" t="n">
        <v>733.63</v>
      </c>
      <c r="P294" s="8" t="str">
        <f aca="false">TEXT(B294,"mmm-yyyy")</f>
        <v>Dec-2023</v>
      </c>
      <c r="Q294" s="14" t="n">
        <f aca="false">IFERROR(O294/N294,"")</f>
        <v>0.213276934705506</v>
      </c>
      <c r="R294" s="8" t="str">
        <f aca="false">IF(OR(N294&gt;$U$3,N294&lt;$U$2),"Sales Outlier",IF(OR(O294&gt;$U$6,O294&lt;$U$4),"Profit Outlier",""))</f>
        <v/>
      </c>
    </row>
    <row r="295" customFormat="false" ht="15" hidden="false" customHeight="true" outlineLevel="0" collapsed="false">
      <c r="A295" s="8" t="s">
        <v>1642</v>
      </c>
      <c r="B295" s="11" t="n">
        <v>45285</v>
      </c>
      <c r="C295" s="11" t="n">
        <v>45287</v>
      </c>
      <c r="D295" s="8" t="s">
        <v>700</v>
      </c>
      <c r="E295" s="8" t="s">
        <v>24</v>
      </c>
      <c r="F295" s="8" t="s">
        <v>61</v>
      </c>
      <c r="G295" s="8" t="s">
        <v>76</v>
      </c>
      <c r="H295" s="8" t="s">
        <v>132</v>
      </c>
      <c r="I295" s="8" t="s">
        <v>104</v>
      </c>
      <c r="J295" s="8" t="s">
        <v>39</v>
      </c>
      <c r="K295" s="8" t="n">
        <v>1</v>
      </c>
      <c r="L295" s="12" t="n">
        <v>900.08</v>
      </c>
      <c r="M295" s="13" t="n">
        <v>0</v>
      </c>
      <c r="N295" s="12" t="n">
        <v>900.08</v>
      </c>
      <c r="O295" s="12" t="n">
        <v>161.66</v>
      </c>
      <c r="P295" s="8" t="str">
        <f aca="false">TEXT(B295,"mmm-yyyy")</f>
        <v>Dec-2023</v>
      </c>
      <c r="Q295" s="14" t="n">
        <f aca="false">IFERROR(O295/N295,"")</f>
        <v>0.17960625722158</v>
      </c>
      <c r="R295" s="8" t="str">
        <f aca="false">IF(OR(N295&gt;$U$3,N295&lt;$U$2),"Sales Outlier",IF(OR(O295&gt;$U$6,O295&lt;$U$4),"Profit Outlier",""))</f>
        <v/>
      </c>
    </row>
    <row r="296" customFormat="false" ht="15" hidden="false" customHeight="true" outlineLevel="0" collapsed="false">
      <c r="A296" s="8" t="s">
        <v>1822</v>
      </c>
      <c r="B296" s="11" t="n">
        <v>45287</v>
      </c>
      <c r="C296" s="11" t="n">
        <v>45290</v>
      </c>
      <c r="D296" s="8" t="s">
        <v>1824</v>
      </c>
      <c r="E296" s="8" t="s">
        <v>2285</v>
      </c>
      <c r="F296" s="8" t="s">
        <v>154</v>
      </c>
      <c r="G296" s="8" t="s">
        <v>182</v>
      </c>
      <c r="H296" s="8" t="s">
        <v>37</v>
      </c>
      <c r="I296" s="8" t="s">
        <v>143</v>
      </c>
      <c r="J296" s="8" t="s">
        <v>47</v>
      </c>
      <c r="K296" s="8" t="n">
        <v>2</v>
      </c>
      <c r="L296" s="12" t="n">
        <v>795.95</v>
      </c>
      <c r="M296" s="13" t="n">
        <v>0.15</v>
      </c>
      <c r="N296" s="12" t="n">
        <v>676.56</v>
      </c>
      <c r="O296" s="12" t="n">
        <v>63.52</v>
      </c>
      <c r="P296" s="8" t="str">
        <f aca="false">TEXT(B296,"mmm-yyyy")</f>
        <v>Dec-2023</v>
      </c>
      <c r="Q296" s="14" t="n">
        <f aca="false">IFERROR(O296/N296,"")</f>
        <v>0.0938867210594774</v>
      </c>
      <c r="R296" s="8" t="str">
        <f aca="false">IF(OR(N296&gt;$U$3,N296&lt;$U$2),"Sales Outlier",IF(OR(O296&gt;$U$6,O296&lt;$U$4),"Profit Outlier",""))</f>
        <v/>
      </c>
    </row>
    <row r="297" customFormat="false" ht="15" hidden="false" customHeight="true" outlineLevel="0" collapsed="false">
      <c r="A297" s="8" t="s">
        <v>1988</v>
      </c>
      <c r="B297" s="11" t="n">
        <v>45288</v>
      </c>
      <c r="C297" s="11"/>
      <c r="D297" s="8" t="s">
        <v>1990</v>
      </c>
      <c r="E297" s="8" t="s">
        <v>34</v>
      </c>
      <c r="F297" s="8" t="s">
        <v>126</v>
      </c>
      <c r="G297" s="8" t="s">
        <v>82</v>
      </c>
      <c r="H297" s="8" t="s">
        <v>45</v>
      </c>
      <c r="I297" s="8" t="s">
        <v>149</v>
      </c>
      <c r="J297" s="8" t="s">
        <v>39</v>
      </c>
      <c r="K297" s="8" t="n">
        <v>1</v>
      </c>
      <c r="L297" s="12" t="n">
        <v>430.73</v>
      </c>
      <c r="M297" s="13" t="n">
        <v>0</v>
      </c>
      <c r="N297" s="12" t="n">
        <v>430.73</v>
      </c>
      <c r="O297" s="12" t="n">
        <v>-11.62</v>
      </c>
      <c r="P297" s="8" t="str">
        <f aca="false">TEXT(B297,"mmm-yyyy")</f>
        <v>Dec-2023</v>
      </c>
      <c r="Q297" s="14" t="n">
        <f aca="false">IFERROR(O297/N297,"")</f>
        <v>-0.0269774568755369</v>
      </c>
      <c r="R297" s="8" t="str">
        <f aca="false">IF(OR(N297&gt;$U$3,N297&lt;$U$2),"Sales Outlier",IF(OR(O297&gt;$U$6,O297&lt;$U$4),"Profit Outlier",""))</f>
        <v/>
      </c>
    </row>
    <row r="298" customFormat="false" ht="15" hidden="false" customHeight="true" outlineLevel="0" collapsed="false">
      <c r="A298" s="8" t="s">
        <v>1401</v>
      </c>
      <c r="B298" s="11" t="n">
        <v>45289</v>
      </c>
      <c r="C298" s="11" t="n">
        <v>45413</v>
      </c>
      <c r="D298" s="8" t="s">
        <v>1389</v>
      </c>
      <c r="E298" s="8" t="s">
        <v>2285</v>
      </c>
      <c r="F298" s="8" t="s">
        <v>126</v>
      </c>
      <c r="G298" s="8" t="s">
        <v>82</v>
      </c>
      <c r="H298" s="8" t="s">
        <v>37</v>
      </c>
      <c r="I298" s="8" t="s">
        <v>38</v>
      </c>
      <c r="J298" s="8" t="s">
        <v>29</v>
      </c>
      <c r="K298" s="8" t="n">
        <v>2</v>
      </c>
      <c r="L298" s="12" t="n">
        <v>370.95</v>
      </c>
      <c r="M298" s="13" t="n">
        <v>0</v>
      </c>
      <c r="N298" s="12" t="n">
        <v>741.9</v>
      </c>
      <c r="O298" s="12" t="n">
        <v>180.28</v>
      </c>
      <c r="P298" s="8" t="str">
        <f aca="false">TEXT(B298,"mmm-yyyy")</f>
        <v>Dec-2023</v>
      </c>
      <c r="Q298" s="14" t="n">
        <f aca="false">IFERROR(O298/N298,"")</f>
        <v>0.242997708586063</v>
      </c>
      <c r="R298" s="8" t="str">
        <f aca="false">IF(OR(N298&gt;$U$3,N298&lt;$U$2),"Sales Outlier",IF(OR(O298&gt;$U$6,O298&lt;$U$4),"Profit Outlier",""))</f>
        <v/>
      </c>
    </row>
    <row r="299" customFormat="false" ht="15" hidden="false" customHeight="true" outlineLevel="0" collapsed="false">
      <c r="A299" s="8" t="s">
        <v>880</v>
      </c>
      <c r="B299" s="11" t="n">
        <v>45293</v>
      </c>
      <c r="C299" s="11" t="n">
        <v>45506</v>
      </c>
      <c r="D299" s="8" t="s">
        <v>883</v>
      </c>
      <c r="E299" s="8" t="s">
        <v>2285</v>
      </c>
      <c r="F299" s="8" t="s">
        <v>147</v>
      </c>
      <c r="G299" s="8" t="s">
        <v>54</v>
      </c>
      <c r="H299" s="8" t="s">
        <v>45</v>
      </c>
      <c r="I299" s="8" t="s">
        <v>28</v>
      </c>
      <c r="J299" s="8" t="s">
        <v>64</v>
      </c>
      <c r="K299" s="8" t="n">
        <v>4</v>
      </c>
      <c r="L299" s="12" t="n">
        <v>1121.04</v>
      </c>
      <c r="M299" s="13" t="n">
        <v>0.05</v>
      </c>
      <c r="N299" s="12" t="n">
        <v>4259.95</v>
      </c>
      <c r="O299" s="12" t="n">
        <v>-394</v>
      </c>
      <c r="P299" s="8" t="str">
        <f aca="false">TEXT(B299,"mmm-yyyy")</f>
        <v>Jan-2024</v>
      </c>
      <c r="Q299" s="14" t="n">
        <f aca="false">IFERROR(O299/N299,"")</f>
        <v>-0.0924893484665313</v>
      </c>
      <c r="R299" s="8" t="str">
        <f aca="false">IF(OR(N299&gt;$U$3,N299&lt;$U$2),"Sales Outlier",IF(OR(O299&gt;$U$6,O299&lt;$U$4),"Profit Outlier",""))</f>
        <v/>
      </c>
    </row>
    <row r="300" customFormat="false" ht="15" hidden="false" customHeight="true" outlineLevel="0" collapsed="false">
      <c r="A300" s="8" t="s">
        <v>1668</v>
      </c>
      <c r="B300" s="11" t="n">
        <v>45294</v>
      </c>
      <c r="C300" s="11"/>
      <c r="D300" s="8" t="s">
        <v>1274</v>
      </c>
      <c r="E300" s="8" t="s">
        <v>34</v>
      </c>
      <c r="F300" s="8" t="s">
        <v>154</v>
      </c>
      <c r="G300" s="8" t="s">
        <v>182</v>
      </c>
      <c r="H300" s="8" t="s">
        <v>114</v>
      </c>
      <c r="I300" s="8" t="s">
        <v>201</v>
      </c>
      <c r="J300" s="8" t="s">
        <v>47</v>
      </c>
      <c r="K300" s="8" t="n">
        <v>2</v>
      </c>
      <c r="L300" s="12" t="n">
        <v>884.42</v>
      </c>
      <c r="M300" s="13" t="n">
        <v>0.15</v>
      </c>
      <c r="N300" s="12" t="n">
        <v>1503.51</v>
      </c>
      <c r="O300" s="12" t="n">
        <v>-10.45</v>
      </c>
      <c r="P300" s="8" t="str">
        <f aca="false">TEXT(B300,"mmm-yyyy")</f>
        <v>Jan-2024</v>
      </c>
      <c r="Q300" s="14" t="n">
        <f aca="false">IFERROR(O300/N300,"")</f>
        <v>-0.00695040272429182</v>
      </c>
      <c r="R300" s="8" t="str">
        <f aca="false">IF(OR(N300&gt;$U$3,N300&lt;$U$2),"Sales Outlier",IF(OR(O300&gt;$U$6,O300&lt;$U$4),"Profit Outlier",""))</f>
        <v/>
      </c>
    </row>
    <row r="301" customFormat="false" ht="15" hidden="false" customHeight="true" outlineLevel="0" collapsed="false">
      <c r="A301" s="8" t="s">
        <v>1075</v>
      </c>
      <c r="B301" s="11" t="n">
        <v>45294</v>
      </c>
      <c r="C301" s="11"/>
      <c r="D301" s="8" t="s">
        <v>2282</v>
      </c>
      <c r="E301" s="8" t="s">
        <v>24</v>
      </c>
      <c r="F301" s="8" t="s">
        <v>126</v>
      </c>
      <c r="G301" s="8" t="s">
        <v>26</v>
      </c>
      <c r="H301" s="8" t="s">
        <v>45</v>
      </c>
      <c r="I301" s="8" t="s">
        <v>46</v>
      </c>
      <c r="J301" s="8" t="s">
        <v>39</v>
      </c>
      <c r="K301" s="8" t="n">
        <v>2</v>
      </c>
      <c r="L301" s="12" t="n">
        <v>735.53</v>
      </c>
      <c r="M301" s="13" t="n">
        <v>0</v>
      </c>
      <c r="N301" s="12" t="n">
        <v>1471.06</v>
      </c>
      <c r="O301" s="12" t="n">
        <v>462.18</v>
      </c>
      <c r="P301" s="8" t="str">
        <f aca="false">TEXT(B301,"mmm-yyyy")</f>
        <v>Jan-2024</v>
      </c>
      <c r="Q301" s="14" t="n">
        <f aca="false">IFERROR(O301/N301,"")</f>
        <v>0.314181610539339</v>
      </c>
      <c r="R301" s="8" t="str">
        <f aca="false">IF(OR(N301&gt;$U$3,N301&lt;$U$2),"Sales Outlier",IF(OR(O301&gt;$U$6,O301&lt;$U$4),"Profit Outlier",""))</f>
        <v/>
      </c>
    </row>
    <row r="302" customFormat="false" ht="15" hidden="false" customHeight="true" outlineLevel="0" collapsed="false">
      <c r="A302" s="8" t="s">
        <v>1705</v>
      </c>
      <c r="B302" s="11" t="n">
        <v>45294</v>
      </c>
      <c r="C302" s="11" t="n">
        <v>45507</v>
      </c>
      <c r="D302" s="8" t="s">
        <v>1274</v>
      </c>
      <c r="E302" s="8" t="s">
        <v>24</v>
      </c>
      <c r="F302" s="8" t="s">
        <v>147</v>
      </c>
      <c r="G302" s="8" t="s">
        <v>326</v>
      </c>
      <c r="H302" s="8" t="s">
        <v>114</v>
      </c>
      <c r="I302" s="8" t="s">
        <v>297</v>
      </c>
      <c r="J302" s="8" t="s">
        <v>47</v>
      </c>
      <c r="K302" s="8" t="n">
        <v>3</v>
      </c>
      <c r="L302" s="12" t="n">
        <v>613.1</v>
      </c>
      <c r="M302" s="13" t="n">
        <v>0.1</v>
      </c>
      <c r="N302" s="12" t="n">
        <v>1655.37</v>
      </c>
      <c r="O302" s="12" t="n">
        <v>213.06</v>
      </c>
      <c r="P302" s="8" t="str">
        <f aca="false">TEXT(B302,"mmm-yyyy")</f>
        <v>Jan-2024</v>
      </c>
      <c r="Q302" s="14" t="n">
        <f aca="false">IFERROR(O302/N302,"")</f>
        <v>0.128708385436489</v>
      </c>
      <c r="R302" s="8" t="str">
        <f aca="false">IF(OR(N302&gt;$U$3,N302&lt;$U$2),"Sales Outlier",IF(OR(O302&gt;$U$6,O302&lt;$U$4),"Profit Outlier",""))</f>
        <v/>
      </c>
    </row>
    <row r="303" customFormat="false" ht="15" hidden="false" customHeight="true" outlineLevel="0" collapsed="false">
      <c r="A303" s="8" t="s">
        <v>665</v>
      </c>
      <c r="B303" s="11" t="n">
        <v>45300</v>
      </c>
      <c r="C303" s="11" t="n">
        <v>45301</v>
      </c>
      <c r="D303" s="8" t="s">
        <v>325</v>
      </c>
      <c r="E303" s="8" t="s">
        <v>34</v>
      </c>
      <c r="F303" s="8" t="s">
        <v>154</v>
      </c>
      <c r="G303" s="8" t="s">
        <v>102</v>
      </c>
      <c r="H303" s="8" t="s">
        <v>114</v>
      </c>
      <c r="I303" s="8" t="s">
        <v>201</v>
      </c>
      <c r="J303" s="8" t="s">
        <v>64</v>
      </c>
      <c r="K303" s="8" t="n">
        <v>2</v>
      </c>
      <c r="L303" s="12" t="n">
        <v>1015.85</v>
      </c>
      <c r="M303" s="13" t="n">
        <v>0.15</v>
      </c>
      <c r="N303" s="12" t="n">
        <v>1726.94</v>
      </c>
      <c r="O303" s="12" t="n">
        <v>-111.1</v>
      </c>
      <c r="P303" s="8" t="str">
        <f aca="false">TEXT(B303,"mmm-yyyy")</f>
        <v>Jan-2024</v>
      </c>
      <c r="Q303" s="14" t="n">
        <f aca="false">IFERROR(O303/N303,"")</f>
        <v>-0.0643334452847233</v>
      </c>
      <c r="R303" s="8" t="str">
        <f aca="false">IF(OR(N303&gt;$U$3,N303&lt;$U$2),"Sales Outlier",IF(OR(O303&gt;$U$6,O303&lt;$U$4),"Profit Outlier",""))</f>
        <v/>
      </c>
    </row>
    <row r="304" customFormat="false" ht="15" hidden="false" customHeight="true" outlineLevel="0" collapsed="false">
      <c r="A304" s="8" t="s">
        <v>1296</v>
      </c>
      <c r="B304" s="11" t="n">
        <v>45301</v>
      </c>
      <c r="C304" s="11" t="n">
        <v>45305</v>
      </c>
      <c r="D304" s="8" t="s">
        <v>1298</v>
      </c>
      <c r="E304" s="8" t="s">
        <v>2285</v>
      </c>
      <c r="F304" s="8" t="s">
        <v>61</v>
      </c>
      <c r="G304" s="8" t="s">
        <v>36</v>
      </c>
      <c r="H304" s="8" t="s">
        <v>45</v>
      </c>
      <c r="I304" s="8" t="s">
        <v>160</v>
      </c>
      <c r="J304" s="8" t="s">
        <v>64</v>
      </c>
      <c r="K304" s="8" t="n">
        <v>2</v>
      </c>
      <c r="L304" s="12" t="n">
        <v>786.42</v>
      </c>
      <c r="M304" s="13" t="n">
        <v>0.05</v>
      </c>
      <c r="N304" s="12" t="n">
        <v>747.1</v>
      </c>
      <c r="O304" s="12" t="n">
        <v>96.89</v>
      </c>
      <c r="P304" s="8" t="str">
        <f aca="false">TEXT(B304,"mmm-yyyy")</f>
        <v>Jan-2024</v>
      </c>
      <c r="Q304" s="14" t="n">
        <f aca="false">IFERROR(O304/N304,"")</f>
        <v>0.129688127426047</v>
      </c>
      <c r="R304" s="8" t="str">
        <f aca="false">IF(OR(N304&gt;$U$3,N304&lt;$U$2),"Sales Outlier",IF(OR(O304&gt;$U$6,O304&lt;$U$4),"Profit Outlier",""))</f>
        <v/>
      </c>
    </row>
    <row r="305" customFormat="false" ht="15" hidden="false" customHeight="true" outlineLevel="0" collapsed="false">
      <c r="A305" s="8" t="s">
        <v>461</v>
      </c>
      <c r="B305" s="11" t="n">
        <v>45301</v>
      </c>
      <c r="C305" s="11" t="n">
        <v>45306</v>
      </c>
      <c r="D305" s="8" t="s">
        <v>464</v>
      </c>
      <c r="E305" s="8" t="s">
        <v>24</v>
      </c>
      <c r="F305" s="8" t="s">
        <v>61</v>
      </c>
      <c r="G305" s="8" t="s">
        <v>36</v>
      </c>
      <c r="H305" s="8" t="s">
        <v>45</v>
      </c>
      <c r="I305" s="8" t="s">
        <v>160</v>
      </c>
      <c r="J305" s="8" t="s">
        <v>29</v>
      </c>
      <c r="K305" s="8" t="n">
        <v>2</v>
      </c>
      <c r="L305" s="12" t="n">
        <v>455.11</v>
      </c>
      <c r="M305" s="13" t="n">
        <v>0.15</v>
      </c>
      <c r="N305" s="12" t="n">
        <v>773.69</v>
      </c>
      <c r="O305" s="12" t="n">
        <v>63.93</v>
      </c>
      <c r="P305" s="8" t="str">
        <f aca="false">TEXT(B305,"mmm-yyyy")</f>
        <v>Jan-2024</v>
      </c>
      <c r="Q305" s="14" t="n">
        <f aca="false">IFERROR(O305/N305,"")</f>
        <v>0.0826299939252155</v>
      </c>
      <c r="R305" s="8" t="str">
        <f aca="false">IF(OR(N305&gt;$U$3,N305&lt;$U$2),"Sales Outlier",IF(OR(O305&gt;$U$6,O305&lt;$U$4),"Profit Outlier",""))</f>
        <v/>
      </c>
    </row>
    <row r="306" customFormat="false" ht="15" hidden="false" customHeight="true" outlineLevel="0" collapsed="false">
      <c r="A306" s="8" t="s">
        <v>1622</v>
      </c>
      <c r="B306" s="11" t="n">
        <v>45302</v>
      </c>
      <c r="C306" s="11" t="n">
        <v>45308</v>
      </c>
      <c r="D306" s="8" t="s">
        <v>1625</v>
      </c>
      <c r="E306" s="8" t="s">
        <v>24</v>
      </c>
      <c r="F306" s="8" t="s">
        <v>126</v>
      </c>
      <c r="G306" s="8" t="s">
        <v>26</v>
      </c>
      <c r="H306" s="8" t="s">
        <v>114</v>
      </c>
      <c r="I306" s="8" t="s">
        <v>96</v>
      </c>
      <c r="J306" s="8" t="s">
        <v>39</v>
      </c>
      <c r="K306" s="8" t="n">
        <v>2</v>
      </c>
      <c r="L306" s="12" t="n">
        <v>353.25</v>
      </c>
      <c r="M306" s="13" t="n">
        <v>0</v>
      </c>
      <c r="N306" s="12" t="n">
        <v>706.5</v>
      </c>
      <c r="O306" s="12" t="n">
        <v>34.31</v>
      </c>
      <c r="P306" s="8" t="str">
        <f aca="false">TEXT(B306,"mmm-yyyy")</f>
        <v>Jan-2024</v>
      </c>
      <c r="Q306" s="14" t="n">
        <f aca="false">IFERROR(O306/N306,"")</f>
        <v>0.0485633404104742</v>
      </c>
      <c r="R306" s="8" t="str">
        <f aca="false">IF(OR(N306&gt;$U$3,N306&lt;$U$2),"Sales Outlier",IF(OR(O306&gt;$U$6,O306&lt;$U$4),"Profit Outlier",""))</f>
        <v/>
      </c>
    </row>
    <row r="307" customFormat="false" ht="15" hidden="false" customHeight="true" outlineLevel="0" collapsed="false">
      <c r="A307" s="8" t="s">
        <v>465</v>
      </c>
      <c r="B307" s="11" t="n">
        <v>45302</v>
      </c>
      <c r="C307" s="11" t="n">
        <v>45309</v>
      </c>
      <c r="D307" s="8" t="s">
        <v>468</v>
      </c>
      <c r="E307" s="8" t="s">
        <v>52</v>
      </c>
      <c r="F307" s="8" t="s">
        <v>126</v>
      </c>
      <c r="G307" s="8" t="s">
        <v>89</v>
      </c>
      <c r="H307" s="8" t="s">
        <v>77</v>
      </c>
      <c r="I307" s="8" t="s">
        <v>71</v>
      </c>
      <c r="J307" s="8" t="s">
        <v>39</v>
      </c>
      <c r="K307" s="8" t="n">
        <v>3</v>
      </c>
      <c r="L307" s="12" t="n">
        <v>837.74</v>
      </c>
      <c r="M307" s="13" t="n">
        <v>0.1</v>
      </c>
      <c r="N307" s="12" t="n">
        <v>2261.9</v>
      </c>
      <c r="O307" s="12" t="n">
        <v>40.07</v>
      </c>
      <c r="P307" s="8" t="str">
        <f aca="false">TEXT(B307,"mmm-yyyy")</f>
        <v>Jan-2024</v>
      </c>
      <c r="Q307" s="14" t="n">
        <f aca="false">IFERROR(O307/N307,"")</f>
        <v>0.0177151951898846</v>
      </c>
      <c r="R307" s="8" t="str">
        <f aca="false">IF(OR(N307&gt;$U$3,N307&lt;$U$2),"Sales Outlier",IF(OR(O307&gt;$U$6,O307&lt;$U$4),"Profit Outlier",""))</f>
        <v/>
      </c>
    </row>
    <row r="308" customFormat="false" ht="15" hidden="false" customHeight="true" outlineLevel="0" collapsed="false">
      <c r="A308" s="8" t="s">
        <v>302</v>
      </c>
      <c r="B308" s="11" t="n">
        <v>45305</v>
      </c>
      <c r="C308" s="11" t="n">
        <v>45307</v>
      </c>
      <c r="D308" s="8" t="s">
        <v>305</v>
      </c>
      <c r="E308" s="8" t="s">
        <v>52</v>
      </c>
      <c r="F308" s="8" t="s">
        <v>61</v>
      </c>
      <c r="G308" s="8" t="s">
        <v>36</v>
      </c>
      <c r="H308" s="8" t="s">
        <v>132</v>
      </c>
      <c r="I308" s="8" t="s">
        <v>241</v>
      </c>
      <c r="J308" s="8" t="s">
        <v>39</v>
      </c>
      <c r="K308" s="8" t="n">
        <v>5</v>
      </c>
      <c r="L308" s="12" t="n">
        <v>225.93</v>
      </c>
      <c r="M308" s="13" t="n">
        <v>0.15</v>
      </c>
      <c r="N308" s="12" t="n">
        <v>960.2</v>
      </c>
      <c r="O308" s="12" t="n">
        <v>-69.39</v>
      </c>
      <c r="P308" s="8" t="str">
        <f aca="false">TEXT(B308,"mmm-yyyy")</f>
        <v>Jan-2024</v>
      </c>
      <c r="Q308" s="14" t="n">
        <f aca="false">IFERROR(O308/N308,"")</f>
        <v>-0.0722661945428036</v>
      </c>
      <c r="R308" s="8" t="str">
        <f aca="false">IF(OR(N308&gt;$U$3,N308&lt;$U$2),"Sales Outlier",IF(OR(O308&gt;$U$6,O308&lt;$U$4),"Profit Outlier",""))</f>
        <v/>
      </c>
    </row>
    <row r="309" customFormat="false" ht="15" hidden="false" customHeight="true" outlineLevel="0" collapsed="false">
      <c r="A309" s="8" t="s">
        <v>1077</v>
      </c>
      <c r="B309" s="11" t="n">
        <v>45307</v>
      </c>
      <c r="C309" s="11" t="n">
        <v>45310</v>
      </c>
      <c r="D309" s="8" t="s">
        <v>1080</v>
      </c>
      <c r="E309" s="8" t="s">
        <v>34</v>
      </c>
      <c r="F309" s="8" t="s">
        <v>154</v>
      </c>
      <c r="G309" s="8" t="s">
        <v>102</v>
      </c>
      <c r="H309" s="8" t="s">
        <v>37</v>
      </c>
      <c r="I309" s="8" t="s">
        <v>527</v>
      </c>
      <c r="J309" s="8" t="s">
        <v>29</v>
      </c>
      <c r="K309" s="8" t="n">
        <v>3</v>
      </c>
      <c r="L309" s="12" t="n">
        <v>507.46</v>
      </c>
      <c r="M309" s="13" t="n">
        <v>0.1</v>
      </c>
      <c r="N309" s="12" t="n">
        <v>1370.14</v>
      </c>
      <c r="O309" s="12" t="n">
        <v>411.37</v>
      </c>
      <c r="P309" s="8" t="str">
        <f aca="false">TEXT(B309,"mmm-yyyy")</f>
        <v>Jan-2024</v>
      </c>
      <c r="Q309" s="14" t="n">
        <f aca="false">IFERROR(O309/N309,"")</f>
        <v>0.300239391595019</v>
      </c>
      <c r="R309" s="8" t="str">
        <f aca="false">IF(OR(N309&gt;$U$3,N309&lt;$U$2),"Sales Outlier",IF(OR(O309&gt;$U$6,O309&lt;$U$4),"Profit Outlier",""))</f>
        <v/>
      </c>
    </row>
    <row r="310" customFormat="false" ht="15" hidden="false" customHeight="true" outlineLevel="0" collapsed="false">
      <c r="A310" s="8" t="s">
        <v>1480</v>
      </c>
      <c r="B310" s="11" t="n">
        <v>45308</v>
      </c>
      <c r="C310" s="11" t="n">
        <v>45315</v>
      </c>
      <c r="D310" s="8" t="s">
        <v>1483</v>
      </c>
      <c r="E310" s="8" t="s">
        <v>2285</v>
      </c>
      <c r="F310" s="8" t="s">
        <v>61</v>
      </c>
      <c r="G310" s="8" t="s">
        <v>36</v>
      </c>
      <c r="H310" s="8" t="s">
        <v>77</v>
      </c>
      <c r="I310" s="8" t="s">
        <v>78</v>
      </c>
      <c r="J310" s="8" t="s">
        <v>64</v>
      </c>
      <c r="K310" s="8" t="n">
        <v>3</v>
      </c>
      <c r="L310" s="12" t="n">
        <v>1054.78</v>
      </c>
      <c r="M310" s="13" t="n">
        <v>0</v>
      </c>
      <c r="N310" s="12" t="n">
        <v>3164.34</v>
      </c>
      <c r="O310" s="12" t="n">
        <v>894.88</v>
      </c>
      <c r="P310" s="8" t="str">
        <f aca="false">TEXT(B310,"mmm-yyyy")</f>
        <v>Jan-2024</v>
      </c>
      <c r="Q310" s="14" t="n">
        <f aca="false">IFERROR(O310/N310,"")</f>
        <v>0.282801468868706</v>
      </c>
      <c r="R310" s="8" t="str">
        <f aca="false">IF(OR(N310&gt;$U$3,N310&lt;$U$2),"Sales Outlier",IF(OR(O310&gt;$U$6,O310&lt;$U$4),"Profit Outlier",""))</f>
        <v/>
      </c>
    </row>
    <row r="311" customFormat="false" ht="15" hidden="false" customHeight="true" outlineLevel="0" collapsed="false">
      <c r="A311" s="8" t="s">
        <v>2173</v>
      </c>
      <c r="B311" s="11" t="n">
        <v>45309</v>
      </c>
      <c r="C311" s="11" t="n">
        <v>45310</v>
      </c>
      <c r="D311" s="8" t="s">
        <v>190</v>
      </c>
      <c r="E311" s="8" t="s">
        <v>24</v>
      </c>
      <c r="F311" s="8" t="s">
        <v>126</v>
      </c>
      <c r="G311" s="8" t="s">
        <v>82</v>
      </c>
      <c r="H311" s="8" t="s">
        <v>77</v>
      </c>
      <c r="I311" s="8" t="s">
        <v>425</v>
      </c>
      <c r="J311" s="8" t="s">
        <v>47</v>
      </c>
      <c r="K311" s="8" t="n">
        <v>1</v>
      </c>
      <c r="L311" s="12" t="n">
        <v>50.08</v>
      </c>
      <c r="M311" s="13" t="n">
        <v>0.05</v>
      </c>
      <c r="N311" s="12" t="n">
        <v>47.58</v>
      </c>
      <c r="O311" s="12" t="n">
        <v>10.09</v>
      </c>
      <c r="P311" s="8" t="str">
        <f aca="false">TEXT(B311,"mmm-yyyy")</f>
        <v>Jan-2024</v>
      </c>
      <c r="Q311" s="14" t="n">
        <f aca="false">IFERROR(O311/N311,"")</f>
        <v>0.212063892391761</v>
      </c>
      <c r="R311" s="8" t="str">
        <f aca="false">IF(OR(N311&gt;$U$3,N311&lt;$U$2),"Sales Outlier",IF(OR(O311&gt;$U$6,O311&lt;$U$4),"Profit Outlier",""))</f>
        <v/>
      </c>
    </row>
    <row r="312" customFormat="false" ht="15" hidden="false" customHeight="true" outlineLevel="0" collapsed="false">
      <c r="A312" s="8" t="s">
        <v>1349</v>
      </c>
      <c r="B312" s="11" t="n">
        <v>45309</v>
      </c>
      <c r="C312" s="11" t="n">
        <v>45311</v>
      </c>
      <c r="D312" s="8" t="s">
        <v>1352</v>
      </c>
      <c r="E312" s="8" t="s">
        <v>2285</v>
      </c>
      <c r="F312" s="8" t="s">
        <v>147</v>
      </c>
      <c r="G312" s="8" t="s">
        <v>215</v>
      </c>
      <c r="H312" s="8" t="s">
        <v>77</v>
      </c>
      <c r="I312" s="8" t="s">
        <v>127</v>
      </c>
      <c r="J312" s="8" t="s">
        <v>47</v>
      </c>
      <c r="K312" s="8" t="n">
        <v>2</v>
      </c>
      <c r="L312" s="12" t="n">
        <v>957.14</v>
      </c>
      <c r="M312" s="13" t="n">
        <v>0.2</v>
      </c>
      <c r="N312" s="12" t="n">
        <v>1531.42</v>
      </c>
      <c r="O312" s="12" t="n">
        <v>-1.12</v>
      </c>
      <c r="P312" s="8" t="str">
        <f aca="false">TEXT(B312,"mmm-yyyy")</f>
        <v>Jan-2024</v>
      </c>
      <c r="Q312" s="14" t="n">
        <f aca="false">IFERROR(O312/N312,"")</f>
        <v>-0.000731347376944274</v>
      </c>
      <c r="R312" s="8" t="str">
        <f aca="false">IF(OR(N312&gt;$U$3,N312&lt;$U$2),"Sales Outlier",IF(OR(O312&gt;$U$6,O312&lt;$U$4),"Profit Outlier",""))</f>
        <v/>
      </c>
    </row>
    <row r="313" customFormat="false" ht="15" hidden="false" customHeight="true" outlineLevel="0" collapsed="false">
      <c r="A313" s="8" t="s">
        <v>1172</v>
      </c>
      <c r="B313" s="11" t="n">
        <v>45309</v>
      </c>
      <c r="C313" s="11" t="n">
        <v>45313</v>
      </c>
      <c r="D313" s="8" t="s">
        <v>1174</v>
      </c>
      <c r="E313" s="8" t="s">
        <v>24</v>
      </c>
      <c r="F313" s="8" t="s">
        <v>154</v>
      </c>
      <c r="G313" s="8" t="s">
        <v>119</v>
      </c>
      <c r="H313" s="8" t="s">
        <v>114</v>
      </c>
      <c r="I313" s="8" t="s">
        <v>297</v>
      </c>
      <c r="J313" s="8" t="s">
        <v>29</v>
      </c>
      <c r="K313" s="8" t="n">
        <v>2</v>
      </c>
      <c r="L313" s="12" t="n">
        <v>548.7</v>
      </c>
      <c r="M313" s="13" t="n">
        <v>0.2</v>
      </c>
      <c r="N313" s="12" t="n">
        <v>877.92</v>
      </c>
      <c r="O313" s="12" t="n">
        <v>180.99</v>
      </c>
      <c r="P313" s="8" t="str">
        <f aca="false">TEXT(B313,"mmm-yyyy")</f>
        <v>Jan-2024</v>
      </c>
      <c r="Q313" s="14" t="n">
        <f aca="false">IFERROR(O313/N313,"")</f>
        <v>0.206157736468015</v>
      </c>
      <c r="R313" s="8" t="str">
        <f aca="false">IF(OR(N313&gt;$U$3,N313&lt;$U$2),"Sales Outlier",IF(OR(O313&gt;$U$6,O313&lt;$U$4),"Profit Outlier",""))</f>
        <v/>
      </c>
    </row>
    <row r="314" customFormat="false" ht="15" hidden="false" customHeight="true" outlineLevel="0" collapsed="false">
      <c r="A314" s="8" t="s">
        <v>1712</v>
      </c>
      <c r="B314" s="11" t="n">
        <v>45310</v>
      </c>
      <c r="C314" s="11" t="n">
        <v>45314</v>
      </c>
      <c r="D314" s="8" t="s">
        <v>1715</v>
      </c>
      <c r="E314" s="8" t="s">
        <v>2285</v>
      </c>
      <c r="F314" s="8" t="s">
        <v>154</v>
      </c>
      <c r="G314" s="8" t="s">
        <v>102</v>
      </c>
      <c r="H314" s="8" t="s">
        <v>114</v>
      </c>
      <c r="I314" s="8" t="s">
        <v>109</v>
      </c>
      <c r="J314" s="8" t="s">
        <v>64</v>
      </c>
      <c r="K314" s="8" t="n">
        <v>1</v>
      </c>
      <c r="L314" s="12" t="n">
        <v>20.34</v>
      </c>
      <c r="M314" s="13" t="n">
        <v>0.2</v>
      </c>
      <c r="N314" s="12" t="n">
        <v>16.27</v>
      </c>
      <c r="O314" s="12" t="n">
        <v>3.07</v>
      </c>
      <c r="P314" s="8" t="str">
        <f aca="false">TEXT(B314,"mmm-yyyy")</f>
        <v>Jan-2024</v>
      </c>
      <c r="Q314" s="14" t="n">
        <f aca="false">IFERROR(O314/N314,"")</f>
        <v>0.188690842040565</v>
      </c>
      <c r="R314" s="8" t="str">
        <f aca="false">IF(OR(N314&gt;$U$3,N314&lt;$U$2),"Sales Outlier",IF(OR(O314&gt;$U$6,O314&lt;$U$4),"Profit Outlier",""))</f>
        <v/>
      </c>
    </row>
    <row r="315" customFormat="false" ht="15" hidden="false" customHeight="true" outlineLevel="0" collapsed="false">
      <c r="A315" s="8" t="s">
        <v>1028</v>
      </c>
      <c r="B315" s="11" t="n">
        <v>45310</v>
      </c>
      <c r="C315" s="11" t="n">
        <v>45313</v>
      </c>
      <c r="D315" s="8" t="s">
        <v>1031</v>
      </c>
      <c r="E315" s="8" t="s">
        <v>2285</v>
      </c>
      <c r="F315" s="8" t="s">
        <v>126</v>
      </c>
      <c r="G315" s="8" t="s">
        <v>89</v>
      </c>
      <c r="H315" s="8" t="s">
        <v>132</v>
      </c>
      <c r="I315" s="8" t="s">
        <v>56</v>
      </c>
      <c r="J315" s="8" t="s">
        <v>29</v>
      </c>
      <c r="K315" s="8" t="n">
        <v>3</v>
      </c>
      <c r="L315" s="12" t="n">
        <v>275.18</v>
      </c>
      <c r="M315" s="13" t="n">
        <v>0.15</v>
      </c>
      <c r="N315" s="12" t="n">
        <v>701.71</v>
      </c>
      <c r="O315" s="12" t="n">
        <v>194.87</v>
      </c>
      <c r="P315" s="8" t="str">
        <f aca="false">TEXT(B315,"mmm-yyyy")</f>
        <v>Jan-2024</v>
      </c>
      <c r="Q315" s="14" t="n">
        <f aca="false">IFERROR(O315/N315,"")</f>
        <v>0.277707314987673</v>
      </c>
      <c r="R315" s="8" t="str">
        <f aca="false">IF(OR(N315&gt;$U$3,N315&lt;$U$2),"Sales Outlier",IF(OR(O315&gt;$U$6,O315&lt;$U$4),"Profit Outlier",""))</f>
        <v/>
      </c>
    </row>
    <row r="316" customFormat="false" ht="15" hidden="false" customHeight="true" outlineLevel="0" collapsed="false">
      <c r="A316" s="8" t="s">
        <v>724</v>
      </c>
      <c r="B316" s="11" t="n">
        <v>45313</v>
      </c>
      <c r="C316" s="11" t="n">
        <v>45316</v>
      </c>
      <c r="D316" s="8" t="s">
        <v>723</v>
      </c>
      <c r="E316" s="8" t="s">
        <v>2285</v>
      </c>
      <c r="F316" s="8" t="s">
        <v>126</v>
      </c>
      <c r="G316" s="8" t="s">
        <v>82</v>
      </c>
      <c r="H316" s="8" t="s">
        <v>45</v>
      </c>
      <c r="I316" s="8" t="s">
        <v>28</v>
      </c>
      <c r="J316" s="8" t="s">
        <v>64</v>
      </c>
      <c r="K316" s="8" t="n">
        <v>1</v>
      </c>
      <c r="L316" s="12" t="n">
        <v>1169.56</v>
      </c>
      <c r="M316" s="13" t="n">
        <v>0</v>
      </c>
      <c r="N316" s="12" t="n">
        <v>1169.56</v>
      </c>
      <c r="O316" s="12" t="n">
        <v>41.71</v>
      </c>
      <c r="P316" s="8" t="str">
        <f aca="false">TEXT(B316,"mmm-yyyy")</f>
        <v>Jan-2024</v>
      </c>
      <c r="Q316" s="14" t="n">
        <f aca="false">IFERROR(O316/N316,"")</f>
        <v>0.0356629843701905</v>
      </c>
      <c r="R316" s="8" t="str">
        <f aca="false">IF(OR(N316&gt;$U$3,N316&lt;$U$2),"Sales Outlier",IF(OR(O316&gt;$U$6,O316&lt;$U$4),"Profit Outlier",""))</f>
        <v/>
      </c>
    </row>
    <row r="317" customFormat="false" ht="15" hidden="false" customHeight="true" outlineLevel="0" collapsed="false">
      <c r="A317" s="8" t="s">
        <v>2138</v>
      </c>
      <c r="B317" s="11" t="n">
        <v>45314</v>
      </c>
      <c r="C317" s="11" t="n">
        <v>45317</v>
      </c>
      <c r="D317" s="8" t="s">
        <v>2141</v>
      </c>
      <c r="E317" s="8" t="s">
        <v>24</v>
      </c>
      <c r="F317" s="8" t="s">
        <v>126</v>
      </c>
      <c r="G317" s="8" t="s">
        <v>82</v>
      </c>
      <c r="H317" s="8" t="s">
        <v>77</v>
      </c>
      <c r="I317" s="8" t="s">
        <v>425</v>
      </c>
      <c r="J317" s="8" t="s">
        <v>29</v>
      </c>
      <c r="K317" s="8" t="n">
        <v>2</v>
      </c>
      <c r="L317" s="12" t="n">
        <v>1062.04</v>
      </c>
      <c r="M317" s="13" t="n">
        <v>0.15</v>
      </c>
      <c r="N317" s="12" t="n">
        <v>1805.47</v>
      </c>
      <c r="O317" s="12" t="n">
        <v>233.22</v>
      </c>
      <c r="P317" s="8" t="str">
        <f aca="false">TEXT(B317,"mmm-yyyy")</f>
        <v>Jan-2024</v>
      </c>
      <c r="Q317" s="14" t="n">
        <f aca="false">IFERROR(O317/N317,"")</f>
        <v>0.129174120866035</v>
      </c>
      <c r="R317" s="8" t="str">
        <f aca="false">IF(OR(N317&gt;$U$3,N317&lt;$U$2),"Sales Outlier",IF(OR(O317&gt;$U$6,O317&lt;$U$4),"Profit Outlier",""))</f>
        <v/>
      </c>
    </row>
    <row r="318" customFormat="false" ht="15" hidden="false" customHeight="true" outlineLevel="0" collapsed="false">
      <c r="A318" s="8" t="s">
        <v>1396</v>
      </c>
      <c r="B318" s="11" t="n">
        <v>45318</v>
      </c>
      <c r="C318" s="11"/>
      <c r="D318" s="8" t="s">
        <v>2282</v>
      </c>
      <c r="E318" s="8" t="s">
        <v>2285</v>
      </c>
      <c r="F318" s="8" t="s">
        <v>126</v>
      </c>
      <c r="G318" s="8" t="s">
        <v>82</v>
      </c>
      <c r="H318" s="8" t="s">
        <v>114</v>
      </c>
      <c r="I318" s="8" t="s">
        <v>115</v>
      </c>
      <c r="J318" s="8" t="s">
        <v>47</v>
      </c>
      <c r="K318" s="8" t="n">
        <v>2</v>
      </c>
      <c r="L318" s="12" t="n">
        <v>945.91</v>
      </c>
      <c r="M318" s="13" t="n">
        <v>0</v>
      </c>
      <c r="N318" s="12" t="n">
        <v>1891.82</v>
      </c>
      <c r="O318" s="12" t="n">
        <v>-19.28</v>
      </c>
      <c r="P318" s="8" t="str">
        <f aca="false">TEXT(B318,"mmm-yyyy")</f>
        <v>Jan-2024</v>
      </c>
      <c r="Q318" s="14" t="n">
        <f aca="false">IFERROR(O318/N318,"")</f>
        <v>-0.0101912444101447</v>
      </c>
      <c r="R318" s="8" t="str">
        <f aca="false">IF(OR(N318&gt;$U$3,N318&lt;$U$2),"Sales Outlier",IF(OR(O318&gt;$U$6,O318&lt;$U$4),"Profit Outlier",""))</f>
        <v/>
      </c>
    </row>
    <row r="319" customFormat="false" ht="15" hidden="false" customHeight="true" outlineLevel="0" collapsed="false">
      <c r="A319" s="8" t="s">
        <v>1614</v>
      </c>
      <c r="B319" s="11" t="n">
        <v>45318</v>
      </c>
      <c r="C319" s="11" t="n">
        <v>45321</v>
      </c>
      <c r="D319" s="8" t="s">
        <v>1616</v>
      </c>
      <c r="E319" s="8" t="s">
        <v>2285</v>
      </c>
      <c r="F319" s="8" t="s">
        <v>61</v>
      </c>
      <c r="G319" s="8" t="s">
        <v>62</v>
      </c>
      <c r="H319" s="8" t="s">
        <v>37</v>
      </c>
      <c r="I319" s="8" t="s">
        <v>38</v>
      </c>
      <c r="J319" s="8" t="s">
        <v>64</v>
      </c>
      <c r="K319" s="8" t="n">
        <v>1</v>
      </c>
      <c r="L319" s="12" t="n">
        <v>389.61</v>
      </c>
      <c r="M319" s="13" t="n">
        <v>0</v>
      </c>
      <c r="N319" s="12" t="n">
        <v>389.61</v>
      </c>
      <c r="O319" s="12" t="n">
        <v>-20.23</v>
      </c>
      <c r="P319" s="8" t="str">
        <f aca="false">TEXT(B319,"mmm-yyyy")</f>
        <v>Jan-2024</v>
      </c>
      <c r="Q319" s="14" t="n">
        <f aca="false">IFERROR(O319/N319,"")</f>
        <v>-0.0519237185903853</v>
      </c>
      <c r="R319" s="8" t="str">
        <f aca="false">IF(OR(N319&gt;$U$3,N319&lt;$U$2),"Sales Outlier",IF(OR(O319&gt;$U$6,O319&lt;$U$4),"Profit Outlier",""))</f>
        <v/>
      </c>
    </row>
    <row r="320" customFormat="false" ht="15" hidden="false" customHeight="true" outlineLevel="0" collapsed="false">
      <c r="A320" s="8" t="s">
        <v>1359</v>
      </c>
      <c r="B320" s="11" t="n">
        <v>45320</v>
      </c>
      <c r="C320" s="11" t="n">
        <v>45321</v>
      </c>
      <c r="D320" s="8" t="s">
        <v>1362</v>
      </c>
      <c r="E320" s="8" t="s">
        <v>52</v>
      </c>
      <c r="F320" s="8" t="s">
        <v>126</v>
      </c>
      <c r="G320" s="8" t="s">
        <v>89</v>
      </c>
      <c r="H320" s="8" t="s">
        <v>114</v>
      </c>
      <c r="I320" s="8" t="s">
        <v>201</v>
      </c>
      <c r="J320" s="8" t="s">
        <v>39</v>
      </c>
      <c r="K320" s="8" t="n">
        <v>2</v>
      </c>
      <c r="L320" s="12" t="n">
        <v>659.8</v>
      </c>
      <c r="M320" s="13" t="n">
        <v>0.15</v>
      </c>
      <c r="N320" s="12" t="n">
        <v>1121.66</v>
      </c>
      <c r="O320" s="12" t="n">
        <v>238.2</v>
      </c>
      <c r="P320" s="8" t="str">
        <f aca="false">TEXT(B320,"mmm-yyyy")</f>
        <v>Jan-2024</v>
      </c>
      <c r="Q320" s="14" t="n">
        <f aca="false">IFERROR(O320/N320,"")</f>
        <v>0.212363817912736</v>
      </c>
      <c r="R320" s="8" t="str">
        <f aca="false">IF(OR(N320&gt;$U$3,N320&lt;$U$2),"Sales Outlier",IF(OR(O320&gt;$U$6,O320&lt;$U$4),"Profit Outlier",""))</f>
        <v/>
      </c>
    </row>
    <row r="321" customFormat="false" ht="15" hidden="false" customHeight="true" outlineLevel="0" collapsed="false">
      <c r="A321" s="8" t="s">
        <v>388</v>
      </c>
      <c r="B321" s="11" t="n">
        <v>45321</v>
      </c>
      <c r="C321" s="11" t="n">
        <v>45323</v>
      </c>
      <c r="D321" s="8" t="s">
        <v>1099</v>
      </c>
      <c r="E321" s="8" t="s">
        <v>24</v>
      </c>
      <c r="F321" s="8" t="s">
        <v>126</v>
      </c>
      <c r="G321" s="8" t="s">
        <v>89</v>
      </c>
      <c r="H321" s="8" t="s">
        <v>114</v>
      </c>
      <c r="I321" s="8" t="s">
        <v>297</v>
      </c>
      <c r="J321" s="8" t="s">
        <v>29</v>
      </c>
      <c r="K321" s="8" t="n">
        <v>4</v>
      </c>
      <c r="L321" s="12" t="n">
        <v>798.13</v>
      </c>
      <c r="M321" s="13" t="n">
        <v>0</v>
      </c>
      <c r="N321" s="12" t="n">
        <v>3192.52</v>
      </c>
      <c r="O321" s="12" t="n">
        <v>900.23</v>
      </c>
      <c r="P321" s="8" t="str">
        <f aca="false">TEXT(B321,"mmm-yyyy")</f>
        <v>Jan-2024</v>
      </c>
      <c r="Q321" s="14" t="n">
        <f aca="false">IFERROR(O321/N321,"")</f>
        <v>0.281981005600591</v>
      </c>
      <c r="R321" s="8" t="str">
        <f aca="false">IF(OR(N321&gt;$U$3,N321&lt;$U$2),"Sales Outlier",IF(OR(O321&gt;$U$6,O321&lt;$U$4),"Profit Outlier",""))</f>
        <v/>
      </c>
    </row>
    <row r="322" customFormat="false" ht="15" hidden="false" customHeight="true" outlineLevel="0" collapsed="false">
      <c r="A322" s="8" t="s">
        <v>1795</v>
      </c>
      <c r="B322" s="11" t="n">
        <v>45321</v>
      </c>
      <c r="C322" s="11" t="n">
        <v>45325</v>
      </c>
      <c r="D322" s="8" t="s">
        <v>292</v>
      </c>
      <c r="E322" s="8" t="s">
        <v>52</v>
      </c>
      <c r="F322" s="8" t="s">
        <v>154</v>
      </c>
      <c r="G322" s="8" t="s">
        <v>102</v>
      </c>
      <c r="H322" s="8" t="s">
        <v>45</v>
      </c>
      <c r="I322" s="8" t="s">
        <v>28</v>
      </c>
      <c r="J322" s="8" t="s">
        <v>64</v>
      </c>
      <c r="K322" s="8" t="n">
        <v>2</v>
      </c>
      <c r="L322" s="12" t="n">
        <v>266.45</v>
      </c>
      <c r="M322" s="13" t="n">
        <v>0.1</v>
      </c>
      <c r="N322" s="12" t="n">
        <v>479.61</v>
      </c>
      <c r="O322" s="12" t="n">
        <v>-12.52</v>
      </c>
      <c r="P322" s="8" t="str">
        <f aca="false">TEXT(B322,"mmm-yyyy")</f>
        <v>Jan-2024</v>
      </c>
      <c r="Q322" s="14" t="n">
        <f aca="false">IFERROR(O322/N322,"")</f>
        <v>-0.0261045432747441</v>
      </c>
      <c r="R322" s="8" t="str">
        <f aca="false">IF(OR(N322&gt;$U$3,N322&lt;$U$2),"Sales Outlier",IF(OR(O322&gt;$U$6,O322&lt;$U$4),"Profit Outlier",""))</f>
        <v/>
      </c>
    </row>
    <row r="323" customFormat="false" ht="15" hidden="false" customHeight="true" outlineLevel="0" collapsed="false">
      <c r="A323" s="8" t="s">
        <v>1417</v>
      </c>
      <c r="B323" s="11" t="n">
        <v>45322</v>
      </c>
      <c r="C323" s="11" t="n">
        <v>45353</v>
      </c>
      <c r="D323" s="8" t="s">
        <v>1420</v>
      </c>
      <c r="E323" s="8" t="s">
        <v>2285</v>
      </c>
      <c r="F323" s="8" t="s">
        <v>147</v>
      </c>
      <c r="G323" s="8" t="s">
        <v>326</v>
      </c>
      <c r="H323" s="8" t="s">
        <v>132</v>
      </c>
      <c r="I323" s="8" t="s">
        <v>241</v>
      </c>
      <c r="J323" s="8" t="s">
        <v>29</v>
      </c>
      <c r="K323" s="8" t="n">
        <v>2</v>
      </c>
      <c r="L323" s="12" t="n">
        <v>1124.97</v>
      </c>
      <c r="M323" s="13" t="n">
        <v>0</v>
      </c>
      <c r="N323" s="12" t="n">
        <v>1124.97</v>
      </c>
      <c r="O323" s="12" t="n">
        <v>14.08</v>
      </c>
      <c r="P323" s="8" t="str">
        <f aca="false">TEXT(B323,"mmm-yyyy")</f>
        <v>Jan-2024</v>
      </c>
      <c r="Q323" s="14" t="n">
        <f aca="false">IFERROR(O323/N323,"")</f>
        <v>0.0125158893126039</v>
      </c>
      <c r="R323" s="8" t="str">
        <f aca="false">IF(OR(N323&gt;$U$3,N323&lt;$U$2),"Sales Outlier",IF(OR(O323&gt;$U$6,O323&lt;$U$4),"Profit Outlier",""))</f>
        <v/>
      </c>
    </row>
    <row r="324" customFormat="false" ht="15" hidden="false" customHeight="true" outlineLevel="0" collapsed="false">
      <c r="A324" s="8" t="s">
        <v>1264</v>
      </c>
      <c r="B324" s="11" t="n">
        <v>45325</v>
      </c>
      <c r="C324" s="11" t="n">
        <v>45476</v>
      </c>
      <c r="D324" s="8" t="s">
        <v>1266</v>
      </c>
      <c r="E324" s="8" t="s">
        <v>24</v>
      </c>
      <c r="F324" s="8" t="s">
        <v>147</v>
      </c>
      <c r="G324" s="8" t="s">
        <v>215</v>
      </c>
      <c r="H324" s="8" t="s">
        <v>45</v>
      </c>
      <c r="I324" s="8" t="s">
        <v>160</v>
      </c>
      <c r="J324" s="8" t="s">
        <v>39</v>
      </c>
      <c r="K324" s="8" t="n">
        <v>1</v>
      </c>
      <c r="L324" s="12" t="n">
        <v>418.29</v>
      </c>
      <c r="M324" s="13" t="n">
        <v>0</v>
      </c>
      <c r="N324" s="12" t="n">
        <v>418.29</v>
      </c>
      <c r="O324" s="12" t="n">
        <v>94.32</v>
      </c>
      <c r="P324" s="8" t="str">
        <f aca="false">TEXT(B324,"mmm-yyyy")</f>
        <v>Feb-2024</v>
      </c>
      <c r="Q324" s="14" t="n">
        <f aca="false">IFERROR(O324/N324,"")</f>
        <v>0.225489492935523</v>
      </c>
      <c r="R324" s="8" t="str">
        <f aca="false">IF(OR(N324&gt;$U$3,N324&lt;$U$2),"Sales Outlier",IF(OR(O324&gt;$U$6,O324&lt;$U$4),"Profit Outlier",""))</f>
        <v/>
      </c>
    </row>
    <row r="325" customFormat="false" ht="15" hidden="false" customHeight="true" outlineLevel="0" collapsed="false">
      <c r="A325" s="8" t="s">
        <v>1899</v>
      </c>
      <c r="B325" s="11" t="n">
        <v>45327</v>
      </c>
      <c r="C325" s="11"/>
      <c r="D325" s="8" t="s">
        <v>412</v>
      </c>
      <c r="E325" s="8" t="s">
        <v>24</v>
      </c>
      <c r="F325" s="8" t="s">
        <v>61</v>
      </c>
      <c r="G325" s="8" t="s">
        <v>36</v>
      </c>
      <c r="H325" s="8" t="s">
        <v>37</v>
      </c>
      <c r="I325" s="8" t="s">
        <v>38</v>
      </c>
      <c r="J325" s="8" t="s">
        <v>64</v>
      </c>
      <c r="K325" s="8" t="n">
        <v>1</v>
      </c>
      <c r="L325" s="12" t="n">
        <v>310.14</v>
      </c>
      <c r="M325" s="13" t="n">
        <v>0.2</v>
      </c>
      <c r="N325" s="12" t="n">
        <v>248.11</v>
      </c>
      <c r="O325" s="12" t="n">
        <v>12.86</v>
      </c>
      <c r="P325" s="8" t="str">
        <f aca="false">TEXT(B325,"mmm-yyyy")</f>
        <v>Feb-2024</v>
      </c>
      <c r="Q325" s="14" t="n">
        <f aca="false">IFERROR(O325/N325,"")</f>
        <v>0.0518318487767522</v>
      </c>
      <c r="R325" s="8" t="str">
        <f aca="false">IF(OR(N325&gt;$U$3,N325&lt;$U$2),"Sales Outlier",IF(OR(O325&gt;$U$6,O325&lt;$U$4),"Profit Outlier",""))</f>
        <v/>
      </c>
    </row>
    <row r="326" customFormat="false" ht="15" hidden="false" customHeight="true" outlineLevel="0" collapsed="false">
      <c r="A326" s="8" t="s">
        <v>865</v>
      </c>
      <c r="B326" s="11" t="n">
        <v>45329</v>
      </c>
      <c r="C326" s="11" t="n">
        <v>45331</v>
      </c>
      <c r="D326" s="8" t="s">
        <v>868</v>
      </c>
      <c r="E326" s="8" t="s">
        <v>24</v>
      </c>
      <c r="F326" s="8" t="s">
        <v>61</v>
      </c>
      <c r="G326" s="8" t="s">
        <v>36</v>
      </c>
      <c r="H326" s="8" t="s">
        <v>37</v>
      </c>
      <c r="I326" s="8" t="s">
        <v>84</v>
      </c>
      <c r="J326" s="8" t="s">
        <v>39</v>
      </c>
      <c r="K326" s="8" t="n">
        <v>5</v>
      </c>
      <c r="L326" s="12" t="n">
        <v>630.13</v>
      </c>
      <c r="M326" s="13" t="n">
        <v>0</v>
      </c>
      <c r="N326" s="12" t="n">
        <v>3150.65</v>
      </c>
      <c r="O326" s="12" t="n">
        <v>597.85</v>
      </c>
      <c r="P326" s="8" t="str">
        <f aca="false">TEXT(B326,"mmm-yyyy")</f>
        <v>Feb-2024</v>
      </c>
      <c r="Q326" s="14" t="n">
        <f aca="false">IFERROR(O326/N326,"")</f>
        <v>0.189754495104185</v>
      </c>
      <c r="R326" s="8" t="str">
        <f aca="false">IF(OR(N326&gt;$U$3,N326&lt;$U$2),"Sales Outlier",IF(OR(O326&gt;$U$6,O326&lt;$U$4),"Profit Outlier",""))</f>
        <v/>
      </c>
    </row>
    <row r="327" customFormat="false" ht="15" hidden="false" customHeight="true" outlineLevel="0" collapsed="false">
      <c r="A327" s="8" t="s">
        <v>1070</v>
      </c>
      <c r="B327" s="11" t="n">
        <v>45329</v>
      </c>
      <c r="C327" s="11" t="n">
        <v>45331</v>
      </c>
      <c r="D327" s="8" t="s">
        <v>1071</v>
      </c>
      <c r="E327" s="8" t="s">
        <v>2285</v>
      </c>
      <c r="F327" s="8" t="s">
        <v>126</v>
      </c>
      <c r="G327" s="8" t="s">
        <v>82</v>
      </c>
      <c r="H327" s="8" t="s">
        <v>132</v>
      </c>
      <c r="I327" s="8" t="s">
        <v>220</v>
      </c>
      <c r="J327" s="8" t="s">
        <v>39</v>
      </c>
      <c r="K327" s="8" t="n">
        <v>2</v>
      </c>
      <c r="L327" s="12" t="n">
        <v>229.11</v>
      </c>
      <c r="M327" s="13" t="n">
        <v>0</v>
      </c>
      <c r="N327" s="12" t="n">
        <v>458.22</v>
      </c>
      <c r="O327" s="12" t="n">
        <v>145.25</v>
      </c>
      <c r="P327" s="8" t="str">
        <f aca="false">TEXT(B327,"mmm-yyyy")</f>
        <v>Feb-2024</v>
      </c>
      <c r="Q327" s="14" t="n">
        <f aca="false">IFERROR(O327/N327,"")</f>
        <v>0.316987473266117</v>
      </c>
      <c r="R327" s="8" t="str">
        <f aca="false">IF(OR(N327&gt;$U$3,N327&lt;$U$2),"Sales Outlier",IF(OR(O327&gt;$U$6,O327&lt;$U$4),"Profit Outlier",""))</f>
        <v/>
      </c>
    </row>
    <row r="328" customFormat="false" ht="15" hidden="false" customHeight="true" outlineLevel="0" collapsed="false">
      <c r="A328" s="8" t="s">
        <v>983</v>
      </c>
      <c r="B328" s="11" t="n">
        <v>45330</v>
      </c>
      <c r="C328" s="11" t="n">
        <v>45336</v>
      </c>
      <c r="D328" s="8" t="s">
        <v>986</v>
      </c>
      <c r="E328" s="8" t="s">
        <v>24</v>
      </c>
      <c r="F328" s="8" t="s">
        <v>147</v>
      </c>
      <c r="G328" s="8" t="s">
        <v>215</v>
      </c>
      <c r="H328" s="8" t="s">
        <v>37</v>
      </c>
      <c r="I328" s="8" t="s">
        <v>143</v>
      </c>
      <c r="J328" s="8" t="s">
        <v>39</v>
      </c>
      <c r="K328" s="8" t="n">
        <v>2</v>
      </c>
      <c r="L328" s="12" t="n">
        <v>520.9</v>
      </c>
      <c r="M328" s="13" t="n">
        <v>0.2</v>
      </c>
      <c r="N328" s="12" t="n">
        <v>833.44</v>
      </c>
      <c r="O328" s="12" t="n">
        <v>-31.19</v>
      </c>
      <c r="P328" s="8" t="str">
        <f aca="false">TEXT(B328,"mmm-yyyy")</f>
        <v>Feb-2024</v>
      </c>
      <c r="Q328" s="14" t="n">
        <f aca="false">IFERROR(O328/N328,"")</f>
        <v>-0.0374232098291419</v>
      </c>
      <c r="R328" s="8" t="str">
        <f aca="false">IF(OR(N328&gt;$U$3,N328&lt;$U$2),"Sales Outlier",IF(OR(O328&gt;$U$6,O328&lt;$U$4),"Profit Outlier",""))</f>
        <v/>
      </c>
    </row>
    <row r="329" customFormat="false" ht="15" hidden="false" customHeight="true" outlineLevel="0" collapsed="false">
      <c r="A329" s="8" t="s">
        <v>766</v>
      </c>
      <c r="B329" s="11" t="n">
        <v>45330</v>
      </c>
      <c r="C329" s="11" t="n">
        <v>45335</v>
      </c>
      <c r="D329" s="8" t="s">
        <v>769</v>
      </c>
      <c r="E329" s="8" t="s">
        <v>34</v>
      </c>
      <c r="F329" s="8" t="s">
        <v>147</v>
      </c>
      <c r="G329" s="8" t="s">
        <v>54</v>
      </c>
      <c r="H329" s="8" t="s">
        <v>45</v>
      </c>
      <c r="I329" s="8" t="s">
        <v>138</v>
      </c>
      <c r="J329" s="8" t="s">
        <v>39</v>
      </c>
      <c r="K329" s="8" t="n">
        <v>5</v>
      </c>
      <c r="L329" s="12" t="n">
        <v>976.38</v>
      </c>
      <c r="M329" s="13" t="n">
        <v>0</v>
      </c>
      <c r="N329" s="12" t="n">
        <v>4881.9</v>
      </c>
      <c r="O329" s="12" t="n">
        <v>993.15</v>
      </c>
      <c r="P329" s="8" t="str">
        <f aca="false">TEXT(B329,"mmm-yyyy")</f>
        <v>Feb-2024</v>
      </c>
      <c r="Q329" s="14" t="n">
        <f aca="false">IFERROR(O329/N329,"")</f>
        <v>0.203435137958582</v>
      </c>
      <c r="R329" s="8" t="str">
        <f aca="false">IF(OR(N329&gt;$U$3,N329&lt;$U$2),"Sales Outlier",IF(OR(O329&gt;$U$6,O329&lt;$U$4),"Profit Outlier",""))</f>
        <v/>
      </c>
    </row>
    <row r="330" customFormat="false" ht="15" hidden="false" customHeight="true" outlineLevel="0" collapsed="false">
      <c r="A330" s="8" t="s">
        <v>276</v>
      </c>
      <c r="B330" s="11" t="n">
        <v>45334</v>
      </c>
      <c r="C330" s="11" t="n">
        <v>45335</v>
      </c>
      <c r="D330" s="8" t="s">
        <v>279</v>
      </c>
      <c r="E330" s="8" t="s">
        <v>52</v>
      </c>
      <c r="F330" s="8" t="s">
        <v>147</v>
      </c>
      <c r="G330" s="8" t="s">
        <v>215</v>
      </c>
      <c r="H330" s="8" t="s">
        <v>114</v>
      </c>
      <c r="I330" s="8" t="s">
        <v>201</v>
      </c>
      <c r="J330" s="8" t="s">
        <v>39</v>
      </c>
      <c r="K330" s="8" t="n">
        <v>2</v>
      </c>
      <c r="L330" s="12" t="n">
        <v>903.94</v>
      </c>
      <c r="M330" s="13" t="n">
        <v>0</v>
      </c>
      <c r="N330" s="12" t="n">
        <v>1807.88</v>
      </c>
      <c r="O330" s="12" t="n">
        <v>433.93</v>
      </c>
      <c r="P330" s="8" t="str">
        <f aca="false">TEXT(B330,"mmm-yyyy")</f>
        <v>Feb-2024</v>
      </c>
      <c r="Q330" s="14" t="n">
        <f aca="false">IFERROR(O330/N330,"")</f>
        <v>0.240021461601434</v>
      </c>
      <c r="R330" s="8" t="str">
        <f aca="false">IF(OR(N330&gt;$U$3,N330&lt;$U$2),"Sales Outlier",IF(OR(O330&gt;$U$6,O330&lt;$U$4),"Profit Outlier",""))</f>
        <v/>
      </c>
    </row>
    <row r="331" customFormat="false" ht="15" hidden="false" customHeight="true" outlineLevel="0" collapsed="false">
      <c r="A331" s="8" t="s">
        <v>1599</v>
      </c>
      <c r="B331" s="11" t="n">
        <v>45335</v>
      </c>
      <c r="C331" s="11" t="n">
        <v>45340</v>
      </c>
      <c r="D331" s="8" t="s">
        <v>249</v>
      </c>
      <c r="E331" s="8" t="s">
        <v>2285</v>
      </c>
      <c r="F331" s="8" t="s">
        <v>61</v>
      </c>
      <c r="G331" s="8" t="s">
        <v>62</v>
      </c>
      <c r="H331" s="8" t="s">
        <v>114</v>
      </c>
      <c r="I331" s="8" t="s">
        <v>96</v>
      </c>
      <c r="J331" s="8" t="s">
        <v>29</v>
      </c>
      <c r="K331" s="8" t="n">
        <v>2</v>
      </c>
      <c r="L331" s="12" t="n">
        <v>537.65</v>
      </c>
      <c r="M331" s="13" t="n">
        <v>0</v>
      </c>
      <c r="N331" s="12" t="n">
        <v>1075.3</v>
      </c>
      <c r="O331" s="12" t="n">
        <v>171.25</v>
      </c>
      <c r="P331" s="8" t="str">
        <f aca="false">TEXT(B331,"mmm-yyyy")</f>
        <v>Feb-2024</v>
      </c>
      <c r="Q331" s="14" t="n">
        <f aca="false">IFERROR(O331/N331,"")</f>
        <v>0.159257881521436</v>
      </c>
      <c r="R331" s="8" t="str">
        <f aca="false">IF(OR(N331&gt;$U$3,N331&lt;$U$2),"Sales Outlier",IF(OR(O331&gt;$U$6,O331&lt;$U$4),"Profit Outlier",""))</f>
        <v/>
      </c>
    </row>
    <row r="332" customFormat="false" ht="15" hidden="false" customHeight="true" outlineLevel="0" collapsed="false">
      <c r="A332" s="8" t="s">
        <v>1456</v>
      </c>
      <c r="B332" s="11" t="n">
        <v>45337</v>
      </c>
      <c r="C332" s="11" t="n">
        <v>45342</v>
      </c>
      <c r="D332" s="8" t="s">
        <v>1459</v>
      </c>
      <c r="E332" s="8" t="s">
        <v>34</v>
      </c>
      <c r="F332" s="8" t="s">
        <v>154</v>
      </c>
      <c r="G332" s="8" t="s">
        <v>182</v>
      </c>
      <c r="H332" s="8" t="s">
        <v>77</v>
      </c>
      <c r="I332" s="8" t="s">
        <v>78</v>
      </c>
      <c r="J332" s="8" t="s">
        <v>39</v>
      </c>
      <c r="K332" s="8" t="n">
        <v>5</v>
      </c>
      <c r="L332" s="12" t="n">
        <v>677.19</v>
      </c>
      <c r="M332" s="13" t="n">
        <v>0.15</v>
      </c>
      <c r="N332" s="12" t="n">
        <v>2878.06</v>
      </c>
      <c r="O332" s="12" t="n">
        <v>302.05</v>
      </c>
      <c r="P332" s="8" t="str">
        <f aca="false">TEXT(B332,"mmm-yyyy")</f>
        <v>Feb-2024</v>
      </c>
      <c r="Q332" s="14" t="n">
        <f aca="false">IFERROR(O332/N332,"")</f>
        <v>0.104949167147315</v>
      </c>
      <c r="R332" s="8" t="str">
        <f aca="false">IF(OR(N332&gt;$U$3,N332&lt;$U$2),"Sales Outlier",IF(OR(O332&gt;$U$6,O332&lt;$U$4),"Profit Outlier",""))</f>
        <v/>
      </c>
    </row>
    <row r="333" customFormat="false" ht="15" hidden="false" customHeight="true" outlineLevel="0" collapsed="false">
      <c r="A333" s="8" t="s">
        <v>1062</v>
      </c>
      <c r="B333" s="11" t="n">
        <v>45338</v>
      </c>
      <c r="C333" s="11" t="n">
        <v>45345</v>
      </c>
      <c r="D333" s="8" t="s">
        <v>1065</v>
      </c>
      <c r="E333" s="8" t="s">
        <v>24</v>
      </c>
      <c r="F333" s="8" t="s">
        <v>154</v>
      </c>
      <c r="G333" s="8" t="s">
        <v>182</v>
      </c>
      <c r="H333" s="8" t="s">
        <v>132</v>
      </c>
      <c r="I333" s="8" t="s">
        <v>241</v>
      </c>
      <c r="J333" s="8" t="s">
        <v>47</v>
      </c>
      <c r="K333" s="8" t="n">
        <v>1</v>
      </c>
      <c r="L333" s="12" t="n">
        <v>106.31</v>
      </c>
      <c r="M333" s="13" t="n">
        <v>0.1</v>
      </c>
      <c r="N333" s="12" t="n">
        <v>95.68</v>
      </c>
      <c r="O333" s="12" t="n">
        <v>-7.08</v>
      </c>
      <c r="P333" s="8" t="str">
        <f aca="false">TEXT(B333,"mmm-yyyy")</f>
        <v>Feb-2024</v>
      </c>
      <c r="Q333" s="14" t="n">
        <f aca="false">IFERROR(O333/N333,"")</f>
        <v>-0.0739966555183946</v>
      </c>
      <c r="R333" s="8" t="str">
        <f aca="false">IF(OR(N333&gt;$U$3,N333&lt;$U$2),"Sales Outlier",IF(OR(O333&gt;$U$6,O333&lt;$U$4),"Profit Outlier",""))</f>
        <v/>
      </c>
    </row>
    <row r="334" customFormat="false" ht="15" hidden="false" customHeight="true" outlineLevel="0" collapsed="false">
      <c r="A334" s="8" t="s">
        <v>2094</v>
      </c>
      <c r="B334" s="11" t="n">
        <v>45338</v>
      </c>
      <c r="C334" s="11" t="n">
        <v>45344</v>
      </c>
      <c r="D334" s="8" t="s">
        <v>625</v>
      </c>
      <c r="E334" s="8" t="s">
        <v>52</v>
      </c>
      <c r="F334" s="8" t="s">
        <v>154</v>
      </c>
      <c r="G334" s="8" t="s">
        <v>182</v>
      </c>
      <c r="H334" s="8" t="s">
        <v>114</v>
      </c>
      <c r="I334" s="8" t="s">
        <v>96</v>
      </c>
      <c r="J334" s="8" t="s">
        <v>47</v>
      </c>
      <c r="K334" s="8" t="n">
        <v>4</v>
      </c>
      <c r="L334" s="12" t="n">
        <v>391.42</v>
      </c>
      <c r="M334" s="13" t="n">
        <v>0</v>
      </c>
      <c r="N334" s="12" t="n">
        <v>1565.68</v>
      </c>
      <c r="O334" s="12" t="n">
        <v>283.01</v>
      </c>
      <c r="P334" s="8" t="str">
        <f aca="false">TEXT(B334,"mmm-yyyy")</f>
        <v>Feb-2024</v>
      </c>
      <c r="Q334" s="14" t="n">
        <f aca="false">IFERROR(O334/N334,"")</f>
        <v>0.180758520259568</v>
      </c>
      <c r="R334" s="8" t="str">
        <f aca="false">IF(OR(N334&gt;$U$3,N334&lt;$U$2),"Sales Outlier",IF(OR(O334&gt;$U$6,O334&lt;$U$4),"Profit Outlier",""))</f>
        <v/>
      </c>
    </row>
    <row r="335" customFormat="false" ht="15" hidden="false" customHeight="true" outlineLevel="0" collapsed="false">
      <c r="A335" s="8" t="s">
        <v>2124</v>
      </c>
      <c r="B335" s="11" t="n">
        <v>45339</v>
      </c>
      <c r="C335" s="11" t="n">
        <v>45340</v>
      </c>
      <c r="D335" s="8" t="s">
        <v>664</v>
      </c>
      <c r="E335" s="8" t="s">
        <v>34</v>
      </c>
      <c r="F335" s="8" t="s">
        <v>154</v>
      </c>
      <c r="G335" s="8" t="s">
        <v>119</v>
      </c>
      <c r="H335" s="8" t="s">
        <v>132</v>
      </c>
      <c r="I335" s="8" t="s">
        <v>104</v>
      </c>
      <c r="J335" s="8" t="s">
        <v>39</v>
      </c>
      <c r="K335" s="8" t="n">
        <v>2</v>
      </c>
      <c r="L335" s="12" t="n">
        <v>548.75</v>
      </c>
      <c r="M335" s="13" t="n">
        <v>0</v>
      </c>
      <c r="N335" s="12" t="n">
        <v>1097.5</v>
      </c>
      <c r="O335" s="12" t="n">
        <v>298.47</v>
      </c>
      <c r="P335" s="8" t="str">
        <f aca="false">TEXT(B335,"mmm-yyyy")</f>
        <v>Feb-2024</v>
      </c>
      <c r="Q335" s="14" t="n">
        <f aca="false">IFERROR(O335/N335,"")</f>
        <v>0.27195444191344</v>
      </c>
      <c r="R335" s="8" t="str">
        <f aca="false">IF(OR(N335&gt;$U$3,N335&lt;$U$2),"Sales Outlier",IF(OR(O335&gt;$U$6,O335&lt;$U$4),"Profit Outlier",""))</f>
        <v/>
      </c>
    </row>
    <row r="336" customFormat="false" ht="15" hidden="false" customHeight="true" outlineLevel="0" collapsed="false">
      <c r="A336" s="8" t="s">
        <v>1975</v>
      </c>
      <c r="B336" s="11" t="n">
        <v>45340</v>
      </c>
      <c r="C336" s="11" t="n">
        <v>45341</v>
      </c>
      <c r="D336" s="8" t="s">
        <v>403</v>
      </c>
      <c r="E336" s="8" t="s">
        <v>52</v>
      </c>
      <c r="F336" s="8" t="s">
        <v>154</v>
      </c>
      <c r="G336" s="8" t="s">
        <v>119</v>
      </c>
      <c r="H336" s="8" t="s">
        <v>45</v>
      </c>
      <c r="I336" s="8" t="s">
        <v>28</v>
      </c>
      <c r="J336" s="8" t="s">
        <v>29</v>
      </c>
      <c r="K336" s="8" t="n">
        <v>2</v>
      </c>
      <c r="L336" s="12" t="n">
        <v>502.04</v>
      </c>
      <c r="M336" s="13" t="n">
        <v>0.2</v>
      </c>
      <c r="N336" s="12" t="n">
        <v>803.26</v>
      </c>
      <c r="O336" s="12" t="n">
        <v>263.18</v>
      </c>
      <c r="P336" s="8" t="str">
        <f aca="false">TEXT(B336,"mmm-yyyy")</f>
        <v>Feb-2024</v>
      </c>
      <c r="Q336" s="14" t="n">
        <f aca="false">IFERROR(O336/N336,"")</f>
        <v>0.327639867539775</v>
      </c>
      <c r="R336" s="8" t="str">
        <f aca="false">IF(OR(N336&gt;$U$3,N336&lt;$U$2),"Sales Outlier",IF(OR(O336&gt;$U$6,O336&lt;$U$4),"Profit Outlier",""))</f>
        <v/>
      </c>
    </row>
    <row r="337" customFormat="false" ht="15" hidden="false" customHeight="true" outlineLevel="0" collapsed="false">
      <c r="A337" s="8" t="s">
        <v>183</v>
      </c>
      <c r="B337" s="11" t="n">
        <v>45344</v>
      </c>
      <c r="C337" s="11" t="n">
        <v>45350</v>
      </c>
      <c r="D337" s="8" t="s">
        <v>186</v>
      </c>
      <c r="E337" s="8" t="s">
        <v>52</v>
      </c>
      <c r="F337" s="8" t="s">
        <v>126</v>
      </c>
      <c r="G337" s="8" t="s">
        <v>82</v>
      </c>
      <c r="H337" s="8" t="s">
        <v>77</v>
      </c>
      <c r="I337" s="8" t="s">
        <v>121</v>
      </c>
      <c r="J337" s="8" t="s">
        <v>29</v>
      </c>
      <c r="K337" s="8" t="n">
        <v>2</v>
      </c>
      <c r="L337" s="12" t="n">
        <v>1111.23</v>
      </c>
      <c r="M337" s="13" t="n">
        <v>0.05</v>
      </c>
      <c r="N337" s="12" t="n">
        <v>2111.34</v>
      </c>
      <c r="O337" s="12" t="n">
        <v>-133.69</v>
      </c>
      <c r="P337" s="8" t="str">
        <f aca="false">TEXT(B337,"mmm-yyyy")</f>
        <v>Feb-2024</v>
      </c>
      <c r="Q337" s="14" t="n">
        <f aca="false">IFERROR(O337/N337,"")</f>
        <v>-0.0633199768867165</v>
      </c>
      <c r="R337" s="8" t="str">
        <f aca="false">IF(OR(N337&gt;$U$3,N337&lt;$U$2),"Sales Outlier",IF(OR(O337&gt;$U$6,O337&lt;$U$4),"Profit Outlier",""))</f>
        <v/>
      </c>
    </row>
    <row r="338" customFormat="false" ht="15" hidden="false" customHeight="true" outlineLevel="0" collapsed="false">
      <c r="A338" s="8" t="s">
        <v>1196</v>
      </c>
      <c r="B338" s="11" t="n">
        <v>45345</v>
      </c>
      <c r="C338" s="11" t="n">
        <v>45348</v>
      </c>
      <c r="D338" s="8" t="s">
        <v>1199</v>
      </c>
      <c r="E338" s="8" t="s">
        <v>34</v>
      </c>
      <c r="F338" s="8" t="s">
        <v>154</v>
      </c>
      <c r="G338" s="8" t="s">
        <v>102</v>
      </c>
      <c r="H338" s="8" t="s">
        <v>132</v>
      </c>
      <c r="I338" s="8" t="s">
        <v>56</v>
      </c>
      <c r="J338" s="8" t="s">
        <v>39</v>
      </c>
      <c r="K338" s="8" t="n">
        <v>2</v>
      </c>
      <c r="L338" s="12" t="n">
        <v>1164.06</v>
      </c>
      <c r="M338" s="13" t="n">
        <v>0.15</v>
      </c>
      <c r="N338" s="12" t="n">
        <v>1978.9</v>
      </c>
      <c r="O338" s="12" t="n">
        <v>288.1</v>
      </c>
      <c r="P338" s="8" t="str">
        <f aca="false">TEXT(B338,"mmm-yyyy")</f>
        <v>Feb-2024</v>
      </c>
      <c r="Q338" s="14" t="n">
        <f aca="false">IFERROR(O338/N338,"")</f>
        <v>0.145585931578149</v>
      </c>
      <c r="R338" s="8" t="str">
        <f aca="false">IF(OR(N338&gt;$U$3,N338&lt;$U$2),"Sales Outlier",IF(OR(O338&gt;$U$6,O338&lt;$U$4),"Profit Outlier",""))</f>
        <v/>
      </c>
    </row>
    <row r="339" customFormat="false" ht="15" hidden="false" customHeight="true" outlineLevel="0" collapsed="false">
      <c r="A339" s="8" t="s">
        <v>150</v>
      </c>
      <c r="B339" s="11" t="n">
        <v>45346</v>
      </c>
      <c r="C339" s="11" t="n">
        <v>45351</v>
      </c>
      <c r="D339" s="8" t="s">
        <v>153</v>
      </c>
      <c r="E339" s="8" t="s">
        <v>34</v>
      </c>
      <c r="F339" s="8" t="s">
        <v>154</v>
      </c>
      <c r="G339" s="8" t="s">
        <v>119</v>
      </c>
      <c r="H339" s="8" t="s">
        <v>45</v>
      </c>
      <c r="I339" s="8" t="s">
        <v>149</v>
      </c>
      <c r="J339" s="8" t="s">
        <v>39</v>
      </c>
      <c r="K339" s="8" t="n">
        <v>1</v>
      </c>
      <c r="L339" s="12" t="n">
        <v>138.08</v>
      </c>
      <c r="M339" s="13" t="n">
        <v>0</v>
      </c>
      <c r="N339" s="12" t="n">
        <v>138.08</v>
      </c>
      <c r="O339" s="12" t="n">
        <v>12.72</v>
      </c>
      <c r="P339" s="8" t="str">
        <f aca="false">TEXT(B339,"mmm-yyyy")</f>
        <v>Feb-2024</v>
      </c>
      <c r="Q339" s="14" t="n">
        <f aca="false">IFERROR(O339/N339,"")</f>
        <v>0.0921205098493627</v>
      </c>
      <c r="R339" s="8" t="str">
        <f aca="false">IF(OR(N339&gt;$U$3,N339&lt;$U$2),"Sales Outlier",IF(OR(O339&gt;$U$6,O339&lt;$U$4),"Profit Outlier",""))</f>
        <v/>
      </c>
    </row>
    <row r="340" customFormat="false" ht="15" hidden="false" customHeight="true" outlineLevel="0" collapsed="false">
      <c r="A340" s="8" t="s">
        <v>1004</v>
      </c>
      <c r="B340" s="11" t="n">
        <v>45346</v>
      </c>
      <c r="C340" s="11" t="n">
        <v>45325</v>
      </c>
      <c r="D340" s="8" t="s">
        <v>1006</v>
      </c>
      <c r="E340" s="8" t="s">
        <v>52</v>
      </c>
      <c r="F340" s="8" t="s">
        <v>147</v>
      </c>
      <c r="G340" s="8" t="s">
        <v>54</v>
      </c>
      <c r="H340" s="8" t="s">
        <v>37</v>
      </c>
      <c r="I340" s="8" t="s">
        <v>404</v>
      </c>
      <c r="J340" s="8" t="s">
        <v>29</v>
      </c>
      <c r="K340" s="8" t="n">
        <v>2</v>
      </c>
      <c r="L340" s="12" t="n">
        <v>633.21</v>
      </c>
      <c r="M340" s="13" t="n">
        <v>0</v>
      </c>
      <c r="N340" s="12" t="n">
        <v>633.21</v>
      </c>
      <c r="O340" s="12" t="n">
        <v>186.85</v>
      </c>
      <c r="P340" s="8" t="str">
        <f aca="false">TEXT(B340,"mmm-yyyy")</f>
        <v>Feb-2024</v>
      </c>
      <c r="Q340" s="14" t="n">
        <f aca="false">IFERROR(O340/N340,"")</f>
        <v>0.295083779472845</v>
      </c>
      <c r="R340" s="8" t="str">
        <f aca="false">IF(OR(N340&gt;$U$3,N340&lt;$U$2),"Sales Outlier",IF(OR(O340&gt;$U$6,O340&lt;$U$4),"Profit Outlier",""))</f>
        <v/>
      </c>
    </row>
    <row r="341" customFormat="false" ht="15" hidden="false" customHeight="true" outlineLevel="0" collapsed="false">
      <c r="A341" s="8" t="s">
        <v>310</v>
      </c>
      <c r="B341" s="11" t="n">
        <v>45347</v>
      </c>
      <c r="C341" s="11" t="n">
        <v>45350</v>
      </c>
      <c r="D341" s="8" t="s">
        <v>313</v>
      </c>
      <c r="E341" s="8" t="s">
        <v>2285</v>
      </c>
      <c r="F341" s="8" t="s">
        <v>154</v>
      </c>
      <c r="G341" s="8" t="s">
        <v>119</v>
      </c>
      <c r="H341" s="8" t="s">
        <v>114</v>
      </c>
      <c r="I341" s="8" t="s">
        <v>201</v>
      </c>
      <c r="J341" s="8" t="s">
        <v>47</v>
      </c>
      <c r="K341" s="8" t="n">
        <v>2</v>
      </c>
      <c r="L341" s="12" t="n">
        <v>866.81</v>
      </c>
      <c r="M341" s="13" t="n">
        <v>0</v>
      </c>
      <c r="N341" s="12" t="n">
        <v>1733.62</v>
      </c>
      <c r="O341" s="12" t="n">
        <v>243.24</v>
      </c>
      <c r="P341" s="8" t="str">
        <f aca="false">TEXT(B341,"mmm-yyyy")</f>
        <v>Feb-2024</v>
      </c>
      <c r="Q341" s="14" t="n">
        <f aca="false">IFERROR(O341/N341,"")</f>
        <v>0.140307564518176</v>
      </c>
      <c r="R341" s="8" t="str">
        <f aca="false">IF(OR(N341&gt;$U$3,N341&lt;$U$2),"Sales Outlier",IF(OR(O341&gt;$U$6,O341&lt;$U$4),"Profit Outlier",""))</f>
        <v/>
      </c>
    </row>
    <row r="342" customFormat="false" ht="15" hidden="false" customHeight="true" outlineLevel="0" collapsed="false">
      <c r="A342" s="8" t="s">
        <v>2119</v>
      </c>
      <c r="B342" s="11" t="n">
        <v>45347</v>
      </c>
      <c r="C342" s="11" t="n">
        <v>45351</v>
      </c>
      <c r="D342" s="8" t="s">
        <v>2121</v>
      </c>
      <c r="E342" s="8" t="s">
        <v>34</v>
      </c>
      <c r="F342" s="8" t="s">
        <v>126</v>
      </c>
      <c r="G342" s="8" t="s">
        <v>26</v>
      </c>
      <c r="H342" s="8" t="s">
        <v>132</v>
      </c>
      <c r="I342" s="8" t="s">
        <v>220</v>
      </c>
      <c r="J342" s="8" t="s">
        <v>64</v>
      </c>
      <c r="K342" s="8" t="n">
        <v>1</v>
      </c>
      <c r="L342" s="12" t="n">
        <v>210.33</v>
      </c>
      <c r="M342" s="13" t="n">
        <v>0</v>
      </c>
      <c r="N342" s="12" t="n">
        <v>210.33</v>
      </c>
      <c r="O342" s="12" t="n">
        <v>69.37</v>
      </c>
      <c r="P342" s="8" t="str">
        <f aca="false">TEXT(B342,"mmm-yyyy")</f>
        <v>Feb-2024</v>
      </c>
      <c r="Q342" s="14" t="n">
        <f aca="false">IFERROR(O342/N342,"")</f>
        <v>0.32981505253649</v>
      </c>
      <c r="R342" s="8" t="str">
        <f aca="false">IF(OR(N342&gt;$U$3,N342&lt;$U$2),"Sales Outlier",IF(OR(O342&gt;$U$6,O342&lt;$U$4),"Profit Outlier",""))</f>
        <v/>
      </c>
    </row>
    <row r="343" customFormat="false" ht="15" hidden="false" customHeight="true" outlineLevel="0" collapsed="false">
      <c r="A343" s="8" t="s">
        <v>1339</v>
      </c>
      <c r="B343" s="11" t="n">
        <v>45348</v>
      </c>
      <c r="C343" s="11" t="n">
        <v>45351</v>
      </c>
      <c r="D343" s="8" t="s">
        <v>1342</v>
      </c>
      <c r="E343" s="8" t="s">
        <v>24</v>
      </c>
      <c r="F343" s="8" t="s">
        <v>154</v>
      </c>
      <c r="G343" s="8" t="s">
        <v>182</v>
      </c>
      <c r="H343" s="8" t="s">
        <v>132</v>
      </c>
      <c r="I343" s="8" t="s">
        <v>56</v>
      </c>
      <c r="J343" s="8" t="s">
        <v>29</v>
      </c>
      <c r="K343" s="8" t="n">
        <v>3</v>
      </c>
      <c r="L343" s="12" t="n">
        <v>450.75</v>
      </c>
      <c r="M343" s="13" t="n">
        <v>0.15</v>
      </c>
      <c r="N343" s="12" t="n">
        <v>1149.41</v>
      </c>
      <c r="O343" s="12" t="n">
        <v>202.35</v>
      </c>
      <c r="P343" s="8" t="str">
        <f aca="false">TEXT(B343,"mmm-yyyy")</f>
        <v>Feb-2024</v>
      </c>
      <c r="Q343" s="14" t="n">
        <f aca="false">IFERROR(O343/N343,"")</f>
        <v>0.176046841422991</v>
      </c>
      <c r="R343" s="8" t="str">
        <f aca="false">IF(OR(N343&gt;$U$3,N343&lt;$U$2),"Sales Outlier",IF(OR(O343&gt;$U$6,O343&lt;$U$4),"Profit Outlier",""))</f>
        <v/>
      </c>
    </row>
    <row r="344" customFormat="false" ht="15" hidden="false" customHeight="true" outlineLevel="0" collapsed="false">
      <c r="A344" s="8" t="s">
        <v>1807</v>
      </c>
      <c r="B344" s="11" t="n">
        <v>45350</v>
      </c>
      <c r="C344" s="11" t="n">
        <v>45357</v>
      </c>
      <c r="D344" s="8" t="s">
        <v>1809</v>
      </c>
      <c r="E344" s="8" t="s">
        <v>34</v>
      </c>
      <c r="F344" s="8" t="s">
        <v>126</v>
      </c>
      <c r="G344" s="8" t="s">
        <v>26</v>
      </c>
      <c r="H344" s="8" t="s">
        <v>45</v>
      </c>
      <c r="I344" s="8" t="s">
        <v>28</v>
      </c>
      <c r="J344" s="8" t="s">
        <v>64</v>
      </c>
      <c r="K344" s="8" t="n">
        <v>2</v>
      </c>
      <c r="L344" s="12" t="n">
        <v>300.25</v>
      </c>
      <c r="M344" s="13" t="n">
        <v>0</v>
      </c>
      <c r="N344" s="12" t="n">
        <v>600.5</v>
      </c>
      <c r="O344" s="12" t="n">
        <v>150.9</v>
      </c>
      <c r="P344" s="8" t="str">
        <f aca="false">TEXT(B344,"mmm-yyyy")</f>
        <v>Feb-2024</v>
      </c>
      <c r="Q344" s="14" t="n">
        <f aca="false">IFERROR(O344/N344,"")</f>
        <v>0.251290591174022</v>
      </c>
      <c r="R344" s="8" t="str">
        <f aca="false">IF(OR(N344&gt;$U$3,N344&lt;$U$2),"Sales Outlier",IF(OR(O344&gt;$U$6,O344&lt;$U$4),"Profit Outlier",""))</f>
        <v/>
      </c>
    </row>
    <row r="345" customFormat="false" ht="15" hidden="false" customHeight="true" outlineLevel="0" collapsed="false">
      <c r="A345" s="8" t="s">
        <v>1487</v>
      </c>
      <c r="B345" s="11" t="n">
        <v>45352</v>
      </c>
      <c r="C345" s="11" t="n">
        <v>45505</v>
      </c>
      <c r="D345" s="8" t="s">
        <v>2282</v>
      </c>
      <c r="E345" s="8" t="s">
        <v>52</v>
      </c>
      <c r="F345" s="8" t="s">
        <v>154</v>
      </c>
      <c r="G345" s="8" t="s">
        <v>182</v>
      </c>
      <c r="H345" s="8" t="s">
        <v>114</v>
      </c>
      <c r="I345" s="8" t="s">
        <v>109</v>
      </c>
      <c r="J345" s="8" t="s">
        <v>39</v>
      </c>
      <c r="K345" s="8" t="n">
        <v>4</v>
      </c>
      <c r="L345" s="12" t="n">
        <v>968.42</v>
      </c>
      <c r="M345" s="13" t="n">
        <v>0</v>
      </c>
      <c r="N345" s="12" t="n">
        <v>3873.68</v>
      </c>
      <c r="O345" s="12" t="n">
        <v>595.09</v>
      </c>
      <c r="P345" s="8" t="str">
        <f aca="false">TEXT(B345,"mmm-yyyy")</f>
        <v>Mar-2024</v>
      </c>
      <c r="Q345" s="14" t="n">
        <f aca="false">IFERROR(O345/N345,"")</f>
        <v>0.153623944156461</v>
      </c>
      <c r="R345" s="8" t="str">
        <f aca="false">IF(OR(N345&gt;$U$3,N345&lt;$U$2),"Sales Outlier",IF(OR(O345&gt;$U$6,O345&lt;$U$4),"Profit Outlier",""))</f>
        <v/>
      </c>
    </row>
    <row r="346" customFormat="false" ht="15" hidden="false" customHeight="true" outlineLevel="0" collapsed="false">
      <c r="A346" s="8" t="s">
        <v>2211</v>
      </c>
      <c r="B346" s="11" t="n">
        <v>45352</v>
      </c>
      <c r="C346" s="11" t="n">
        <v>45354</v>
      </c>
      <c r="D346" s="8" t="s">
        <v>2214</v>
      </c>
      <c r="E346" s="8" t="s">
        <v>34</v>
      </c>
      <c r="F346" s="8" t="s">
        <v>147</v>
      </c>
      <c r="G346" s="8" t="s">
        <v>215</v>
      </c>
      <c r="H346" s="8" t="s">
        <v>77</v>
      </c>
      <c r="I346" s="8" t="s">
        <v>78</v>
      </c>
      <c r="J346" s="8" t="s">
        <v>47</v>
      </c>
      <c r="K346" s="8" t="n">
        <v>4</v>
      </c>
      <c r="L346" s="12" t="n">
        <v>900.87</v>
      </c>
      <c r="M346" s="13" t="n">
        <v>0.1</v>
      </c>
      <c r="N346" s="12" t="n">
        <v>3243.13</v>
      </c>
      <c r="O346" s="12" t="n">
        <v>-300.75</v>
      </c>
      <c r="P346" s="8" t="str">
        <f aca="false">TEXT(B346,"mmm-yyyy")</f>
        <v>Mar-2024</v>
      </c>
      <c r="Q346" s="14" t="n">
        <f aca="false">IFERROR(O346/N346,"")</f>
        <v>-0.0927344879792053</v>
      </c>
      <c r="R346" s="8" t="str">
        <f aca="false">IF(OR(N346&gt;$U$3,N346&lt;$U$2),"Sales Outlier",IF(OR(O346&gt;$U$6,O346&lt;$U$4),"Profit Outlier",""))</f>
        <v/>
      </c>
    </row>
    <row r="347" customFormat="false" ht="15" hidden="false" customHeight="true" outlineLevel="0" collapsed="false">
      <c r="A347" s="8" t="s">
        <v>593</v>
      </c>
      <c r="B347" s="11" t="n">
        <v>45357</v>
      </c>
      <c r="C347" s="11" t="n">
        <v>45363</v>
      </c>
      <c r="D347" s="8" t="s">
        <v>596</v>
      </c>
      <c r="E347" s="8" t="s">
        <v>24</v>
      </c>
      <c r="F347" s="8" t="s">
        <v>126</v>
      </c>
      <c r="G347" s="8" t="s">
        <v>89</v>
      </c>
      <c r="H347" s="8" t="s">
        <v>45</v>
      </c>
      <c r="I347" s="8" t="s">
        <v>28</v>
      </c>
      <c r="J347" s="8" t="s">
        <v>64</v>
      </c>
      <c r="K347" s="8" t="n">
        <v>1</v>
      </c>
      <c r="L347" s="12" t="n">
        <v>266.25</v>
      </c>
      <c r="M347" s="13" t="n">
        <v>0.05</v>
      </c>
      <c r="N347" s="12" t="n">
        <v>252.94</v>
      </c>
      <c r="O347" s="12" t="n">
        <v>23.29</v>
      </c>
      <c r="P347" s="8" t="str">
        <f aca="false">TEXT(B347,"mmm-yyyy")</f>
        <v>Mar-2024</v>
      </c>
      <c r="Q347" s="14" t="n">
        <f aca="false">IFERROR(O347/N347,"")</f>
        <v>0.0920771724519649</v>
      </c>
      <c r="R347" s="8" t="str">
        <f aca="false">IF(OR(N347&gt;$U$3,N347&lt;$U$2),"Sales Outlier",IF(OR(O347&gt;$U$6,O347&lt;$U$4),"Profit Outlier",""))</f>
        <v/>
      </c>
    </row>
    <row r="348" customFormat="false" ht="15" hidden="false" customHeight="true" outlineLevel="0" collapsed="false">
      <c r="A348" s="8" t="s">
        <v>1860</v>
      </c>
      <c r="B348" s="11" t="n">
        <v>45358</v>
      </c>
      <c r="C348" s="11" t="n">
        <v>45362</v>
      </c>
      <c r="D348" s="8" t="s">
        <v>1047</v>
      </c>
      <c r="E348" s="8" t="s">
        <v>52</v>
      </c>
      <c r="F348" s="8" t="s">
        <v>154</v>
      </c>
      <c r="G348" s="8" t="s">
        <v>119</v>
      </c>
      <c r="H348" s="8" t="s">
        <v>37</v>
      </c>
      <c r="I348" s="8" t="s">
        <v>143</v>
      </c>
      <c r="J348" s="8" t="s">
        <v>64</v>
      </c>
      <c r="K348" s="8" t="n">
        <v>5</v>
      </c>
      <c r="L348" s="12" t="n">
        <v>359.31</v>
      </c>
      <c r="M348" s="13" t="n">
        <v>0.2</v>
      </c>
      <c r="N348" s="12" t="n">
        <v>1437.24</v>
      </c>
      <c r="O348" s="12" t="n">
        <v>453.27</v>
      </c>
      <c r="P348" s="8" t="str">
        <f aca="false">TEXT(B348,"mmm-yyyy")</f>
        <v>Mar-2024</v>
      </c>
      <c r="Q348" s="14" t="n">
        <f aca="false">IFERROR(O348/N348,"")</f>
        <v>0.315375302663438</v>
      </c>
      <c r="R348" s="8" t="str">
        <f aca="false">IF(OR(N348&gt;$U$3,N348&lt;$U$2),"Sales Outlier",IF(OR(O348&gt;$U$6,O348&lt;$U$4),"Profit Outlier",""))</f>
        <v/>
      </c>
    </row>
    <row r="349" customFormat="false" ht="15" hidden="false" customHeight="true" outlineLevel="0" collapsed="false">
      <c r="A349" s="8" t="s">
        <v>233</v>
      </c>
      <c r="B349" s="11" t="n">
        <v>45360</v>
      </c>
      <c r="C349" s="11" t="n">
        <v>45421</v>
      </c>
      <c r="D349" s="8" t="s">
        <v>236</v>
      </c>
      <c r="E349" s="8" t="s">
        <v>52</v>
      </c>
      <c r="F349" s="8" t="s">
        <v>154</v>
      </c>
      <c r="G349" s="8" t="s">
        <v>119</v>
      </c>
      <c r="H349" s="8" t="s">
        <v>77</v>
      </c>
      <c r="I349" s="8" t="s">
        <v>127</v>
      </c>
      <c r="J349" s="8" t="s">
        <v>29</v>
      </c>
      <c r="K349" s="8" t="n">
        <v>5</v>
      </c>
      <c r="L349" s="12" t="n">
        <v>988.5</v>
      </c>
      <c r="M349" s="13" t="n">
        <v>0.2</v>
      </c>
      <c r="N349" s="12" t="n">
        <v>3954</v>
      </c>
      <c r="O349" s="12" t="n">
        <v>-127.6</v>
      </c>
      <c r="P349" s="8" t="str">
        <f aca="false">TEXT(B349,"mmm-yyyy")</f>
        <v>Mar-2024</v>
      </c>
      <c r="Q349" s="14" t="n">
        <f aca="false">IFERROR(O349/N349,"")</f>
        <v>-0.0322711178553364</v>
      </c>
      <c r="R349" s="8" t="str">
        <f aca="false">IF(OR(N349&gt;$U$3,N349&lt;$U$2),"Sales Outlier",IF(OR(O349&gt;$U$6,O349&lt;$U$4),"Profit Outlier",""))</f>
        <v/>
      </c>
    </row>
    <row r="350" customFormat="false" ht="15" hidden="false" customHeight="true" outlineLevel="0" collapsed="false">
      <c r="A350" s="8" t="s">
        <v>642</v>
      </c>
      <c r="B350" s="11" t="n">
        <v>45361</v>
      </c>
      <c r="C350" s="11" t="n">
        <v>45365</v>
      </c>
      <c r="D350" s="8" t="s">
        <v>645</v>
      </c>
      <c r="E350" s="8" t="s">
        <v>52</v>
      </c>
      <c r="F350" s="8" t="s">
        <v>154</v>
      </c>
      <c r="G350" s="8" t="s">
        <v>102</v>
      </c>
      <c r="H350" s="8" t="s">
        <v>45</v>
      </c>
      <c r="I350" s="8" t="s">
        <v>28</v>
      </c>
      <c r="J350" s="8" t="s">
        <v>29</v>
      </c>
      <c r="K350" s="8" t="n">
        <v>1</v>
      </c>
      <c r="L350" s="12" t="n">
        <v>330.16</v>
      </c>
      <c r="M350" s="13" t="n">
        <v>0</v>
      </c>
      <c r="N350" s="12" t="n">
        <v>330.16</v>
      </c>
      <c r="O350" s="12" t="n">
        <v>-16.54</v>
      </c>
      <c r="P350" s="8" t="str">
        <f aca="false">TEXT(B350,"mmm-yyyy")</f>
        <v>Mar-2024</v>
      </c>
      <c r="Q350" s="14" t="n">
        <f aca="false">IFERROR(O350/N350,"")</f>
        <v>-0.0500969227041434</v>
      </c>
      <c r="R350" s="8" t="str">
        <f aca="false">IF(OR(N350&gt;$U$3,N350&lt;$U$2),"Sales Outlier",IF(OR(O350&gt;$U$6,O350&lt;$U$4),"Profit Outlier",""))</f>
        <v/>
      </c>
    </row>
    <row r="351" customFormat="false" ht="15" hidden="false" customHeight="true" outlineLevel="0" collapsed="false">
      <c r="A351" s="8" t="s">
        <v>1404</v>
      </c>
      <c r="B351" s="11" t="n">
        <v>45363</v>
      </c>
      <c r="C351" s="11" t="n">
        <v>45368</v>
      </c>
      <c r="D351" s="8" t="s">
        <v>1407</v>
      </c>
      <c r="E351" s="8" t="s">
        <v>24</v>
      </c>
      <c r="F351" s="8" t="s">
        <v>154</v>
      </c>
      <c r="G351" s="8" t="s">
        <v>119</v>
      </c>
      <c r="H351" s="8" t="s">
        <v>37</v>
      </c>
      <c r="I351" s="8" t="s">
        <v>143</v>
      </c>
      <c r="J351" s="8" t="s">
        <v>47</v>
      </c>
      <c r="K351" s="8" t="n">
        <v>2</v>
      </c>
      <c r="L351" s="12" t="n">
        <v>333.12</v>
      </c>
      <c r="M351" s="13" t="n">
        <v>0</v>
      </c>
      <c r="N351" s="12" t="n">
        <v>666.24</v>
      </c>
      <c r="O351" s="12" t="n">
        <v>111.05</v>
      </c>
      <c r="P351" s="8" t="str">
        <f aca="false">TEXT(B351,"mmm-yyyy")</f>
        <v>Mar-2024</v>
      </c>
      <c r="Q351" s="14" t="n">
        <f aca="false">IFERROR(O351/N351,"")</f>
        <v>0.166681676272815</v>
      </c>
      <c r="R351" s="8" t="str">
        <f aca="false">IF(OR(N351&gt;$U$3,N351&lt;$U$2),"Sales Outlier",IF(OR(O351&gt;$U$6,O351&lt;$U$4),"Profit Outlier",""))</f>
        <v/>
      </c>
    </row>
    <row r="352" customFormat="false" ht="15" hidden="false" customHeight="true" outlineLevel="0" collapsed="false">
      <c r="A352" s="8" t="s">
        <v>675</v>
      </c>
      <c r="B352" s="11" t="n">
        <v>45363</v>
      </c>
      <c r="C352" s="11" t="n">
        <v>45369</v>
      </c>
      <c r="D352" s="8" t="s">
        <v>678</v>
      </c>
      <c r="E352" s="8" t="s">
        <v>34</v>
      </c>
      <c r="F352" s="8" t="s">
        <v>126</v>
      </c>
      <c r="G352" s="8" t="s">
        <v>26</v>
      </c>
      <c r="H352" s="8" t="s">
        <v>132</v>
      </c>
      <c r="I352" s="8" t="s">
        <v>220</v>
      </c>
      <c r="J352" s="8" t="s">
        <v>39</v>
      </c>
      <c r="K352" s="8" t="n">
        <v>2</v>
      </c>
      <c r="L352" s="12" t="n">
        <v>341.8</v>
      </c>
      <c r="M352" s="13" t="n">
        <v>0.2</v>
      </c>
      <c r="N352" s="12" t="n">
        <v>546.88</v>
      </c>
      <c r="O352" s="12" t="n">
        <v>164.06</v>
      </c>
      <c r="P352" s="8" t="str">
        <f aca="false">TEXT(B352,"mmm-yyyy")</f>
        <v>Mar-2024</v>
      </c>
      <c r="Q352" s="14" t="n">
        <f aca="false">IFERROR(O352/N352,"")</f>
        <v>0.299992685781159</v>
      </c>
      <c r="R352" s="8" t="str">
        <f aca="false">IF(OR(N352&gt;$U$3,N352&lt;$U$2),"Sales Outlier",IF(OR(O352&gt;$U$6,O352&lt;$U$4),"Profit Outlier",""))</f>
        <v/>
      </c>
    </row>
    <row r="353" customFormat="false" ht="15" hidden="false" customHeight="true" outlineLevel="0" collapsed="false">
      <c r="A353" s="8" t="s">
        <v>1477</v>
      </c>
      <c r="B353" s="11" t="n">
        <v>45363</v>
      </c>
      <c r="C353" s="11" t="n">
        <v>45547</v>
      </c>
      <c r="D353" s="8" t="s">
        <v>2288</v>
      </c>
      <c r="E353" s="8" t="s">
        <v>52</v>
      </c>
      <c r="F353" s="8" t="s">
        <v>126</v>
      </c>
      <c r="G353" s="8" t="s">
        <v>82</v>
      </c>
      <c r="H353" s="8" t="s">
        <v>45</v>
      </c>
      <c r="I353" s="8" t="s">
        <v>28</v>
      </c>
      <c r="J353" s="8" t="s">
        <v>64</v>
      </c>
      <c r="K353" s="8" t="n">
        <v>2</v>
      </c>
      <c r="L353" s="12" t="n">
        <v>968.44</v>
      </c>
      <c r="M353" s="13" t="n">
        <v>0.1</v>
      </c>
      <c r="N353" s="12" t="n">
        <v>871.6</v>
      </c>
      <c r="O353" s="12" t="n">
        <v>138.24</v>
      </c>
      <c r="P353" s="8" t="str">
        <f aca="false">TEXT(B353,"mmm-yyyy")</f>
        <v>Mar-2024</v>
      </c>
      <c r="Q353" s="14" t="n">
        <f aca="false">IFERROR(O353/N353,"")</f>
        <v>0.158604864616797</v>
      </c>
      <c r="R353" s="8" t="str">
        <f aca="false">IF(OR(N353&gt;$U$3,N353&lt;$U$2),"Sales Outlier",IF(OR(O353&gt;$U$6,O353&lt;$U$4),"Profit Outlier",""))</f>
        <v/>
      </c>
    </row>
    <row r="354" customFormat="false" ht="15" hidden="false" customHeight="true" outlineLevel="0" collapsed="false">
      <c r="A354" s="8" t="s">
        <v>737</v>
      </c>
      <c r="B354" s="11" t="n">
        <v>45364</v>
      </c>
      <c r="C354" s="11" t="n">
        <v>45370</v>
      </c>
      <c r="D354" s="8" t="s">
        <v>739</v>
      </c>
      <c r="E354" s="8" t="s">
        <v>52</v>
      </c>
      <c r="F354" s="8" t="s">
        <v>61</v>
      </c>
      <c r="G354" s="8" t="s">
        <v>76</v>
      </c>
      <c r="H354" s="8" t="s">
        <v>77</v>
      </c>
      <c r="I354" s="8" t="s">
        <v>71</v>
      </c>
      <c r="J354" s="8" t="s">
        <v>29</v>
      </c>
      <c r="K354" s="8" t="n">
        <v>2</v>
      </c>
      <c r="L354" s="12" t="n">
        <v>1107.62</v>
      </c>
      <c r="M354" s="13" t="n">
        <v>0.1</v>
      </c>
      <c r="N354" s="12" t="n">
        <v>996.86</v>
      </c>
      <c r="O354" s="12" t="n">
        <v>72.03</v>
      </c>
      <c r="P354" s="8" t="str">
        <f aca="false">TEXT(B354,"mmm-yyyy")</f>
        <v>Mar-2024</v>
      </c>
      <c r="Q354" s="14" t="n">
        <f aca="false">IFERROR(O354/N354,"")</f>
        <v>0.0722568866239994</v>
      </c>
      <c r="R354" s="8" t="str">
        <f aca="false">IF(OR(N354&gt;$U$3,N354&lt;$U$2),"Sales Outlier",IF(OR(O354&gt;$U$6,O354&lt;$U$4),"Profit Outlier",""))</f>
        <v/>
      </c>
    </row>
    <row r="355" customFormat="false" ht="15" hidden="false" customHeight="true" outlineLevel="0" collapsed="false">
      <c r="A355" s="8" t="s">
        <v>778</v>
      </c>
      <c r="B355" s="11" t="n">
        <v>45365</v>
      </c>
      <c r="C355" s="11" t="n">
        <v>45370</v>
      </c>
      <c r="D355" s="8" t="s">
        <v>781</v>
      </c>
      <c r="E355" s="8" t="s">
        <v>24</v>
      </c>
      <c r="F355" s="8" t="s">
        <v>154</v>
      </c>
      <c r="G355" s="8" t="s">
        <v>119</v>
      </c>
      <c r="H355" s="8" t="s">
        <v>45</v>
      </c>
      <c r="I355" s="8" t="s">
        <v>160</v>
      </c>
      <c r="J355" s="8" t="s">
        <v>64</v>
      </c>
      <c r="K355" s="8" t="n">
        <v>1</v>
      </c>
      <c r="L355" s="12" t="n">
        <v>546.83</v>
      </c>
      <c r="M355" s="13" t="n">
        <v>0.15</v>
      </c>
      <c r="N355" s="12" t="n">
        <v>464.81</v>
      </c>
      <c r="O355" s="12" t="n">
        <v>-25</v>
      </c>
      <c r="P355" s="8" t="str">
        <f aca="false">TEXT(B355,"mmm-yyyy")</f>
        <v>Mar-2024</v>
      </c>
      <c r="Q355" s="14" t="n">
        <f aca="false">IFERROR(O355/N355,"")</f>
        <v>-0.0537854176975538</v>
      </c>
      <c r="R355" s="8" t="str">
        <f aca="false">IF(OR(N355&gt;$U$3,N355&lt;$U$2),"Sales Outlier",IF(OR(O355&gt;$U$6,O355&lt;$U$4),"Profit Outlier",""))</f>
        <v/>
      </c>
    </row>
    <row r="356" customFormat="false" ht="15" hidden="false" customHeight="true" outlineLevel="0" collapsed="false">
      <c r="A356" s="8" t="s">
        <v>1230</v>
      </c>
      <c r="B356" s="11" t="n">
        <v>45367</v>
      </c>
      <c r="C356" s="11" t="n">
        <v>45368</v>
      </c>
      <c r="D356" s="8" t="s">
        <v>1233</v>
      </c>
      <c r="E356" s="8" t="s">
        <v>52</v>
      </c>
      <c r="F356" s="8" t="s">
        <v>61</v>
      </c>
      <c r="G356" s="8" t="s">
        <v>62</v>
      </c>
      <c r="H356" s="8" t="s">
        <v>114</v>
      </c>
      <c r="I356" s="8" t="s">
        <v>109</v>
      </c>
      <c r="J356" s="8" t="s">
        <v>64</v>
      </c>
      <c r="K356" s="8" t="n">
        <v>1</v>
      </c>
      <c r="L356" s="12" t="n">
        <v>969.14</v>
      </c>
      <c r="M356" s="13" t="n">
        <v>0.1</v>
      </c>
      <c r="N356" s="12" t="n">
        <v>872.23</v>
      </c>
      <c r="O356" s="12" t="n">
        <v>214.76</v>
      </c>
      <c r="P356" s="8" t="str">
        <f aca="false">TEXT(B356,"mmm-yyyy")</f>
        <v>Mar-2024</v>
      </c>
      <c r="Q356" s="14" t="n">
        <f aca="false">IFERROR(O356/N356,"")</f>
        <v>0.24621946046341</v>
      </c>
      <c r="R356" s="8" t="str">
        <f aca="false">IF(OR(N356&gt;$U$3,N356&lt;$U$2),"Sales Outlier",IF(OR(O356&gt;$U$6,O356&lt;$U$4),"Profit Outlier",""))</f>
        <v/>
      </c>
    </row>
    <row r="357" customFormat="false" ht="15" hidden="false" customHeight="true" outlineLevel="0" collapsed="false">
      <c r="A357" s="8" t="s">
        <v>1791</v>
      </c>
      <c r="B357" s="11" t="n">
        <v>45369</v>
      </c>
      <c r="C357" s="11" t="n">
        <v>45373</v>
      </c>
      <c r="D357" s="8" t="s">
        <v>1794</v>
      </c>
      <c r="E357" s="8" t="s">
        <v>52</v>
      </c>
      <c r="F357" s="8" t="s">
        <v>147</v>
      </c>
      <c r="G357" s="8" t="s">
        <v>54</v>
      </c>
      <c r="H357" s="8" t="s">
        <v>37</v>
      </c>
      <c r="I357" s="8" t="s">
        <v>143</v>
      </c>
      <c r="J357" s="8" t="s">
        <v>64</v>
      </c>
      <c r="K357" s="8" t="n">
        <v>1</v>
      </c>
      <c r="L357" s="12" t="n">
        <v>758.34</v>
      </c>
      <c r="M357" s="13" t="n">
        <v>0</v>
      </c>
      <c r="N357" s="12" t="n">
        <v>758.34</v>
      </c>
      <c r="O357" s="12" t="n">
        <v>90.53</v>
      </c>
      <c r="P357" s="8" t="str">
        <f aca="false">TEXT(B357,"mmm-yyyy")</f>
        <v>Mar-2024</v>
      </c>
      <c r="Q357" s="14" t="n">
        <f aca="false">IFERROR(O357/N357,"")</f>
        <v>0.119379170293008</v>
      </c>
      <c r="R357" s="8" t="str">
        <f aca="false">IF(OR(N357&gt;$U$3,N357&lt;$U$2),"Sales Outlier",IF(OR(O357&gt;$U$6,O357&lt;$U$4),"Profit Outlier",""))</f>
        <v/>
      </c>
    </row>
    <row r="358" customFormat="false" ht="15" hidden="false" customHeight="true" outlineLevel="0" collapsed="false">
      <c r="A358" s="8" t="s">
        <v>1881</v>
      </c>
      <c r="B358" s="11" t="n">
        <v>45370</v>
      </c>
      <c r="C358" s="11" t="n">
        <v>45376</v>
      </c>
      <c r="D358" s="8" t="s">
        <v>1309</v>
      </c>
      <c r="E358" s="8" t="s">
        <v>2285</v>
      </c>
      <c r="F358" s="8" t="s">
        <v>154</v>
      </c>
      <c r="G358" s="8" t="s">
        <v>182</v>
      </c>
      <c r="H358" s="8" t="s">
        <v>37</v>
      </c>
      <c r="I358" s="8" t="s">
        <v>143</v>
      </c>
      <c r="J358" s="8" t="s">
        <v>64</v>
      </c>
      <c r="K358" s="8" t="n">
        <v>3</v>
      </c>
      <c r="L358" s="12" t="n">
        <v>608.04</v>
      </c>
      <c r="M358" s="13" t="n">
        <v>0.1</v>
      </c>
      <c r="N358" s="12" t="n">
        <v>1641.71</v>
      </c>
      <c r="O358" s="12" t="n">
        <v>399.84</v>
      </c>
      <c r="P358" s="8" t="str">
        <f aca="false">TEXT(B358,"mmm-yyyy")</f>
        <v>Mar-2024</v>
      </c>
      <c r="Q358" s="14" t="n">
        <f aca="false">IFERROR(O358/N358,"")</f>
        <v>0.243550931650535</v>
      </c>
      <c r="R358" s="8" t="str">
        <f aca="false">IF(OR(N358&gt;$U$3,N358&lt;$U$2),"Sales Outlier",IF(OR(O358&gt;$U$6,O358&lt;$U$4),"Profit Outlier",""))</f>
        <v/>
      </c>
    </row>
    <row r="359" customFormat="false" ht="15" hidden="false" customHeight="true" outlineLevel="0" collapsed="false">
      <c r="A359" s="8" t="s">
        <v>672</v>
      </c>
      <c r="B359" s="11" t="n">
        <v>45370</v>
      </c>
      <c r="C359" s="11" t="n">
        <v>45375</v>
      </c>
      <c r="D359" s="8" t="s">
        <v>2282</v>
      </c>
      <c r="E359" s="8" t="s">
        <v>34</v>
      </c>
      <c r="F359" s="8" t="s">
        <v>126</v>
      </c>
      <c r="G359" s="8" t="s">
        <v>89</v>
      </c>
      <c r="H359" s="8" t="s">
        <v>114</v>
      </c>
      <c r="I359" s="8" t="s">
        <v>109</v>
      </c>
      <c r="J359" s="8" t="s">
        <v>47</v>
      </c>
      <c r="K359" s="8" t="n">
        <v>3</v>
      </c>
      <c r="L359" s="12" t="n">
        <v>599.07</v>
      </c>
      <c r="M359" s="13" t="n">
        <v>0</v>
      </c>
      <c r="N359" s="12" t="n">
        <v>1797.21</v>
      </c>
      <c r="O359" s="12" t="n">
        <v>-111.1</v>
      </c>
      <c r="P359" s="8" t="str">
        <f aca="false">TEXT(B359,"mmm-yyyy")</f>
        <v>Mar-2024</v>
      </c>
      <c r="Q359" s="14" t="n">
        <f aca="false">IFERROR(O359/N359,"")</f>
        <v>-0.0618180401845082</v>
      </c>
      <c r="R359" s="8" t="str">
        <f aca="false">IF(OR(N359&gt;$U$3,N359&lt;$U$2),"Sales Outlier",IF(OR(O359&gt;$U$6,O359&lt;$U$4),"Profit Outlier",""))</f>
        <v/>
      </c>
    </row>
    <row r="360" customFormat="false" ht="15" hidden="false" customHeight="true" outlineLevel="0" collapsed="false">
      <c r="A360" s="8" t="s">
        <v>559</v>
      </c>
      <c r="B360" s="11" t="n">
        <v>45371</v>
      </c>
      <c r="C360" s="11" t="n">
        <v>45374</v>
      </c>
      <c r="D360" s="8" t="s">
        <v>562</v>
      </c>
      <c r="E360" s="8" t="s">
        <v>24</v>
      </c>
      <c r="F360" s="8" t="s">
        <v>61</v>
      </c>
      <c r="G360" s="8" t="s">
        <v>76</v>
      </c>
      <c r="H360" s="8" t="s">
        <v>114</v>
      </c>
      <c r="I360" s="8" t="s">
        <v>201</v>
      </c>
      <c r="J360" s="8" t="s">
        <v>39</v>
      </c>
      <c r="K360" s="8" t="n">
        <v>5</v>
      </c>
      <c r="L360" s="12" t="n">
        <v>190.99</v>
      </c>
      <c r="M360" s="13" t="n">
        <v>0.05</v>
      </c>
      <c r="N360" s="12" t="n">
        <v>907.2</v>
      </c>
      <c r="O360" s="12" t="n">
        <v>141.84</v>
      </c>
      <c r="P360" s="8" t="str">
        <f aca="false">TEXT(B360,"mmm-yyyy")</f>
        <v>Mar-2024</v>
      </c>
      <c r="Q360" s="14" t="n">
        <f aca="false">IFERROR(O360/N360,"")</f>
        <v>0.156349206349206</v>
      </c>
      <c r="R360" s="8" t="str">
        <f aca="false">IF(OR(N360&gt;$U$3,N360&lt;$U$2),"Sales Outlier",IF(OR(O360&gt;$U$6,O360&lt;$U$4),"Profit Outlier",""))</f>
        <v/>
      </c>
    </row>
    <row r="361" customFormat="false" ht="15" hidden="false" customHeight="true" outlineLevel="0" collapsed="false">
      <c r="A361" s="8" t="s">
        <v>237</v>
      </c>
      <c r="B361" s="11" t="n">
        <v>45371</v>
      </c>
      <c r="C361" s="11" t="n">
        <v>45377</v>
      </c>
      <c r="D361" s="8" t="s">
        <v>240</v>
      </c>
      <c r="E361" s="8" t="s">
        <v>24</v>
      </c>
      <c r="F361" s="8" t="s">
        <v>147</v>
      </c>
      <c r="G361" s="8" t="s">
        <v>54</v>
      </c>
      <c r="H361" s="8" t="s">
        <v>132</v>
      </c>
      <c r="I361" s="8" t="s">
        <v>241</v>
      </c>
      <c r="J361" s="8" t="s">
        <v>47</v>
      </c>
      <c r="K361" s="8" t="n">
        <v>2</v>
      </c>
      <c r="L361" s="12" t="n">
        <v>103.81</v>
      </c>
      <c r="M361" s="13" t="n">
        <v>0</v>
      </c>
      <c r="N361" s="12" t="n">
        <v>207.62</v>
      </c>
      <c r="O361" s="12" t="n">
        <v>63.44</v>
      </c>
      <c r="P361" s="8" t="str">
        <f aca="false">TEXT(B361,"mmm-yyyy")</f>
        <v>Mar-2024</v>
      </c>
      <c r="Q361" s="14" t="n">
        <f aca="false">IFERROR(O361/N361,"")</f>
        <v>0.30555823138426</v>
      </c>
      <c r="R361" s="8" t="str">
        <f aca="false">IF(OR(N361&gt;$U$3,N361&lt;$U$2),"Sales Outlier",IF(OR(O361&gt;$U$6,O361&lt;$U$4),"Profit Outlier",""))</f>
        <v/>
      </c>
    </row>
    <row r="362" customFormat="false" ht="15" hidden="false" customHeight="true" outlineLevel="0" collapsed="false">
      <c r="A362" s="8" t="s">
        <v>1273</v>
      </c>
      <c r="B362" s="11" t="n">
        <v>45372</v>
      </c>
      <c r="C362" s="11" t="n">
        <v>45377</v>
      </c>
      <c r="D362" s="8" t="s">
        <v>1274</v>
      </c>
      <c r="E362" s="8" t="s">
        <v>52</v>
      </c>
      <c r="F362" s="8" t="s">
        <v>126</v>
      </c>
      <c r="G362" s="8" t="s">
        <v>26</v>
      </c>
      <c r="H362" s="8" t="s">
        <v>132</v>
      </c>
      <c r="I362" s="8" t="s">
        <v>241</v>
      </c>
      <c r="J362" s="8" t="s">
        <v>47</v>
      </c>
      <c r="K362" s="8" t="n">
        <v>1</v>
      </c>
      <c r="L362" s="12" t="n">
        <v>1048.86</v>
      </c>
      <c r="M362" s="13" t="n">
        <v>0</v>
      </c>
      <c r="N362" s="12" t="n">
        <v>1048.86</v>
      </c>
      <c r="O362" s="12" t="n">
        <v>-63.15</v>
      </c>
      <c r="P362" s="8" t="str">
        <f aca="false">TEXT(B362,"mmm-yyyy")</f>
        <v>Mar-2024</v>
      </c>
      <c r="Q362" s="14" t="n">
        <f aca="false">IFERROR(O362/N362,"")</f>
        <v>-0.0602082260740232</v>
      </c>
      <c r="R362" s="8" t="str">
        <f aca="false">IF(OR(N362&gt;$U$3,N362&lt;$U$2),"Sales Outlier",IF(OR(O362&gt;$U$6,O362&lt;$U$4),"Profit Outlier",""))</f>
        <v/>
      </c>
    </row>
    <row r="363" customFormat="false" ht="15" hidden="false" customHeight="true" outlineLevel="0" collapsed="false">
      <c r="A363" s="8" t="s">
        <v>524</v>
      </c>
      <c r="B363" s="11" t="n">
        <v>45372</v>
      </c>
      <c r="C363" s="11" t="n">
        <v>45379</v>
      </c>
      <c r="D363" s="8" t="s">
        <v>346</v>
      </c>
      <c r="E363" s="8" t="s">
        <v>24</v>
      </c>
      <c r="F363" s="8" t="s">
        <v>147</v>
      </c>
      <c r="G363" s="8" t="s">
        <v>215</v>
      </c>
      <c r="H363" s="8" t="s">
        <v>37</v>
      </c>
      <c r="I363" s="8" t="s">
        <v>527</v>
      </c>
      <c r="J363" s="8" t="s">
        <v>29</v>
      </c>
      <c r="K363" s="8" t="n">
        <v>1</v>
      </c>
      <c r="L363" s="12" t="n">
        <v>21.87</v>
      </c>
      <c r="M363" s="13" t="n">
        <v>0.2</v>
      </c>
      <c r="N363" s="12" t="n">
        <v>17.5</v>
      </c>
      <c r="O363" s="12" t="n">
        <v>0.52</v>
      </c>
      <c r="P363" s="8" t="str">
        <f aca="false">TEXT(B363,"mmm-yyyy")</f>
        <v>Mar-2024</v>
      </c>
      <c r="Q363" s="14" t="n">
        <f aca="false">IFERROR(O363/N363,"")</f>
        <v>0.0297142857142857</v>
      </c>
      <c r="R363" s="8" t="str">
        <f aca="false">IF(OR(N363&gt;$U$3,N363&lt;$U$2),"Sales Outlier",IF(OR(O363&gt;$U$6,O363&lt;$U$4),"Profit Outlier",""))</f>
        <v/>
      </c>
    </row>
    <row r="364" customFormat="false" ht="15" hidden="false" customHeight="true" outlineLevel="0" collapsed="false">
      <c r="A364" s="8" t="s">
        <v>743</v>
      </c>
      <c r="B364" s="11" t="n">
        <v>45372</v>
      </c>
      <c r="C364" s="11" t="n">
        <v>45373</v>
      </c>
      <c r="D364" s="8" t="s">
        <v>2301</v>
      </c>
      <c r="E364" s="8" t="s">
        <v>2285</v>
      </c>
      <c r="F364" s="8" t="s">
        <v>126</v>
      </c>
      <c r="G364" s="8" t="s">
        <v>26</v>
      </c>
      <c r="H364" s="8" t="s">
        <v>132</v>
      </c>
      <c r="I364" s="8" t="s">
        <v>133</v>
      </c>
      <c r="J364" s="8" t="s">
        <v>29</v>
      </c>
      <c r="K364" s="8" t="n">
        <v>2</v>
      </c>
      <c r="L364" s="12" t="n">
        <v>568.64</v>
      </c>
      <c r="M364" s="13" t="n">
        <v>0.2</v>
      </c>
      <c r="N364" s="12" t="n">
        <v>909.82</v>
      </c>
      <c r="O364" s="12" t="n">
        <v>160.39</v>
      </c>
      <c r="P364" s="8" t="str">
        <f aca="false">TEXT(B364,"mmm-yyyy")</f>
        <v>Mar-2024</v>
      </c>
      <c r="Q364" s="14" t="n">
        <f aca="false">IFERROR(O364/N364,"")</f>
        <v>0.176287617330901</v>
      </c>
      <c r="R364" s="8" t="str">
        <f aca="false">IF(OR(N364&gt;$U$3,N364&lt;$U$2),"Sales Outlier",IF(OR(O364&gt;$U$6,O364&lt;$U$4),"Profit Outlier",""))</f>
        <v/>
      </c>
    </row>
    <row r="365" customFormat="false" ht="15" hidden="false" customHeight="true" outlineLevel="0" collapsed="false">
      <c r="A365" s="8" t="s">
        <v>2159</v>
      </c>
      <c r="B365" s="11" t="n">
        <v>45373</v>
      </c>
      <c r="C365" s="11" t="n">
        <v>45377</v>
      </c>
      <c r="D365" s="8" t="s">
        <v>2162</v>
      </c>
      <c r="E365" s="8" t="s">
        <v>52</v>
      </c>
      <c r="F365" s="8" t="s">
        <v>154</v>
      </c>
      <c r="G365" s="8" t="s">
        <v>102</v>
      </c>
      <c r="H365" s="8" t="s">
        <v>132</v>
      </c>
      <c r="I365" s="8" t="s">
        <v>56</v>
      </c>
      <c r="J365" s="8" t="s">
        <v>47</v>
      </c>
      <c r="K365" s="8" t="n">
        <v>3</v>
      </c>
      <c r="L365" s="12" t="n">
        <v>559.67</v>
      </c>
      <c r="M365" s="13" t="n">
        <v>0.2</v>
      </c>
      <c r="N365" s="12" t="n">
        <v>1343.21</v>
      </c>
      <c r="O365" s="12" t="n">
        <v>263.81</v>
      </c>
      <c r="P365" s="8" t="str">
        <f aca="false">TEXT(B365,"mmm-yyyy")</f>
        <v>Mar-2024</v>
      </c>
      <c r="Q365" s="14" t="n">
        <f aca="false">IFERROR(O365/N365,"")</f>
        <v>0.196402647389463</v>
      </c>
      <c r="R365" s="8" t="str">
        <f aca="false">IF(OR(N365&gt;$U$3,N365&lt;$U$2),"Sales Outlier",IF(OR(O365&gt;$U$6,O365&lt;$U$4),"Profit Outlier",""))</f>
        <v/>
      </c>
    </row>
    <row r="366" customFormat="false" ht="15" hidden="false" customHeight="true" outlineLevel="0" collapsed="false">
      <c r="A366" s="8" t="s">
        <v>1678</v>
      </c>
      <c r="B366" s="11" t="n">
        <v>45374</v>
      </c>
      <c r="C366" s="11" t="n">
        <v>45381</v>
      </c>
      <c r="D366" s="8" t="s">
        <v>131</v>
      </c>
      <c r="E366" s="8" t="s">
        <v>52</v>
      </c>
      <c r="F366" s="8" t="s">
        <v>61</v>
      </c>
      <c r="G366" s="8" t="s">
        <v>76</v>
      </c>
      <c r="H366" s="8" t="s">
        <v>37</v>
      </c>
      <c r="I366" s="8" t="s">
        <v>38</v>
      </c>
      <c r="J366" s="8" t="s">
        <v>39</v>
      </c>
      <c r="K366" s="8" t="n">
        <v>2</v>
      </c>
      <c r="L366" s="12" t="n">
        <v>1171.15</v>
      </c>
      <c r="M366" s="13" t="n">
        <v>0</v>
      </c>
      <c r="N366" s="12" t="n">
        <v>2342.3</v>
      </c>
      <c r="O366" s="12" t="n">
        <v>467.26</v>
      </c>
      <c r="P366" s="8" t="str">
        <f aca="false">TEXT(B366,"mmm-yyyy")</f>
        <v>Mar-2024</v>
      </c>
      <c r="Q366" s="14" t="n">
        <f aca="false">IFERROR(O366/N366,"")</f>
        <v>0.199487683046578</v>
      </c>
      <c r="R366" s="8" t="str">
        <f aca="false">IF(OR(N366&gt;$U$3,N366&lt;$U$2),"Sales Outlier",IF(OR(O366&gt;$U$6,O366&lt;$U$4),"Profit Outlier",""))</f>
        <v/>
      </c>
    </row>
    <row r="367" customFormat="false" ht="15" hidden="false" customHeight="true" outlineLevel="0" collapsed="false">
      <c r="A367" s="8" t="s">
        <v>257</v>
      </c>
      <c r="B367" s="11" t="n">
        <v>45376</v>
      </c>
      <c r="C367" s="11" t="n">
        <v>45379</v>
      </c>
      <c r="D367" s="8" t="s">
        <v>210</v>
      </c>
      <c r="E367" s="8" t="s">
        <v>24</v>
      </c>
      <c r="F367" s="8" t="s">
        <v>61</v>
      </c>
      <c r="G367" s="8" t="s">
        <v>62</v>
      </c>
      <c r="H367" s="8" t="s">
        <v>114</v>
      </c>
      <c r="I367" s="8" t="s">
        <v>201</v>
      </c>
      <c r="J367" s="8" t="s">
        <v>29</v>
      </c>
      <c r="K367" s="8" t="n">
        <v>5</v>
      </c>
      <c r="L367" s="12" t="n">
        <v>849.61</v>
      </c>
      <c r="M367" s="13" t="n">
        <v>0.05</v>
      </c>
      <c r="N367" s="12" t="n">
        <v>4035.65</v>
      </c>
      <c r="O367" s="12" t="n">
        <v>750.78</v>
      </c>
      <c r="P367" s="8" t="str">
        <f aca="false">TEXT(B367,"mmm-yyyy")</f>
        <v>Mar-2024</v>
      </c>
      <c r="Q367" s="14" t="n">
        <f aca="false">IFERROR(O367/N367,"")</f>
        <v>0.186036945721259</v>
      </c>
      <c r="R367" s="8" t="str">
        <f aca="false">IF(OR(N367&gt;$U$3,N367&lt;$U$2),"Sales Outlier",IF(OR(O367&gt;$U$6,O367&lt;$U$4),"Profit Outlier",""))</f>
        <v/>
      </c>
    </row>
    <row r="368" customFormat="false" ht="15" hidden="false" customHeight="true" outlineLevel="0" collapsed="false">
      <c r="A368" s="8" t="s">
        <v>835</v>
      </c>
      <c r="B368" s="11" t="n">
        <v>45377</v>
      </c>
      <c r="C368" s="11" t="n">
        <v>45378</v>
      </c>
      <c r="D368" s="8" t="s">
        <v>837</v>
      </c>
      <c r="E368" s="8" t="s">
        <v>24</v>
      </c>
      <c r="F368" s="8" t="s">
        <v>126</v>
      </c>
      <c r="G368" s="8" t="s">
        <v>82</v>
      </c>
      <c r="H368" s="8" t="s">
        <v>132</v>
      </c>
      <c r="I368" s="8" t="s">
        <v>56</v>
      </c>
      <c r="J368" s="8" t="s">
        <v>64</v>
      </c>
      <c r="K368" s="8" t="n">
        <v>4</v>
      </c>
      <c r="L368" s="12" t="n">
        <v>1044.29</v>
      </c>
      <c r="M368" s="13" t="n">
        <v>0</v>
      </c>
      <c r="N368" s="12" t="n">
        <v>4177.16</v>
      </c>
      <c r="O368" s="12" t="n">
        <v>464.8</v>
      </c>
      <c r="P368" s="8" t="str">
        <f aca="false">TEXT(B368,"mmm-yyyy")</f>
        <v>Mar-2024</v>
      </c>
      <c r="Q368" s="14" t="n">
        <f aca="false">IFERROR(O368/N368,"")</f>
        <v>0.111271773166458</v>
      </c>
      <c r="R368" s="8" t="str">
        <f aca="false">IF(OR(N368&gt;$U$3,N368&lt;$U$2),"Sales Outlier",IF(OR(O368&gt;$U$6,O368&lt;$U$4),"Profit Outlier",""))</f>
        <v/>
      </c>
    </row>
    <row r="369" customFormat="false" ht="15" hidden="false" customHeight="true" outlineLevel="0" collapsed="false">
      <c r="A369" s="8" t="s">
        <v>2058</v>
      </c>
      <c r="B369" s="11" t="n">
        <v>45377</v>
      </c>
      <c r="C369" s="11" t="n">
        <v>45378</v>
      </c>
      <c r="D369" s="8" t="s">
        <v>1809</v>
      </c>
      <c r="E369" s="8" t="s">
        <v>34</v>
      </c>
      <c r="F369" s="8" t="s">
        <v>154</v>
      </c>
      <c r="G369" s="8" t="s">
        <v>119</v>
      </c>
      <c r="H369" s="8" t="s">
        <v>37</v>
      </c>
      <c r="I369" s="8" t="s">
        <v>84</v>
      </c>
      <c r="J369" s="8" t="s">
        <v>29</v>
      </c>
      <c r="K369" s="8" t="n">
        <v>2</v>
      </c>
      <c r="L369" s="12" t="n">
        <v>753.96</v>
      </c>
      <c r="M369" s="13" t="n">
        <v>0.1</v>
      </c>
      <c r="N369" s="12" t="n">
        <v>678.56</v>
      </c>
      <c r="O369" s="12" t="n">
        <v>-21.8</v>
      </c>
      <c r="P369" s="8" t="str">
        <f aca="false">TEXT(B369,"mmm-yyyy")</f>
        <v>Mar-2024</v>
      </c>
      <c r="Q369" s="14" t="n">
        <f aca="false">IFERROR(O369/N369,"")</f>
        <v>-0.0321268568733789</v>
      </c>
      <c r="R369" s="8" t="str">
        <f aca="false">IF(OR(N369&gt;$U$3,N369&lt;$U$2),"Sales Outlier",IF(OR(O369&gt;$U$6,O369&lt;$U$4),"Profit Outlier",""))</f>
        <v/>
      </c>
    </row>
    <row r="370" customFormat="false" ht="15" hidden="false" customHeight="true" outlineLevel="0" collapsed="false">
      <c r="A370" s="8" t="s">
        <v>2030</v>
      </c>
      <c r="B370" s="11" t="n">
        <v>45379</v>
      </c>
      <c r="C370" s="11" t="n">
        <v>45384</v>
      </c>
      <c r="D370" s="8" t="s">
        <v>1700</v>
      </c>
      <c r="E370" s="8" t="s">
        <v>34</v>
      </c>
      <c r="F370" s="8" t="s">
        <v>147</v>
      </c>
      <c r="G370" s="8" t="s">
        <v>54</v>
      </c>
      <c r="H370" s="8" t="s">
        <v>77</v>
      </c>
      <c r="I370" s="8" t="s">
        <v>127</v>
      </c>
      <c r="J370" s="8" t="s">
        <v>39</v>
      </c>
      <c r="K370" s="8" t="n">
        <v>3</v>
      </c>
      <c r="L370" s="12" t="n">
        <v>830.81</v>
      </c>
      <c r="M370" s="13" t="n">
        <v>0.05</v>
      </c>
      <c r="N370" s="12" t="n">
        <v>2367.81</v>
      </c>
      <c r="O370" s="12" t="n">
        <v>-99.63</v>
      </c>
      <c r="P370" s="8" t="str">
        <f aca="false">TEXT(B370,"mmm-yyyy")</f>
        <v>Mar-2024</v>
      </c>
      <c r="Q370" s="14" t="n">
        <f aca="false">IFERROR(O370/N370,"")</f>
        <v>-0.0420768558288038</v>
      </c>
      <c r="R370" s="8" t="str">
        <f aca="false">IF(OR(N370&gt;$U$3,N370&lt;$U$2),"Sales Outlier",IF(OR(O370&gt;$U$6,O370&lt;$U$4),"Profit Outlier",""))</f>
        <v/>
      </c>
    </row>
    <row r="371" customFormat="false" ht="15" hidden="false" customHeight="true" outlineLevel="0" collapsed="false">
      <c r="A371" s="8" t="s">
        <v>230</v>
      </c>
      <c r="B371" s="11" t="n">
        <v>45381</v>
      </c>
      <c r="C371" s="11" t="n">
        <v>45447</v>
      </c>
      <c r="D371" s="8" t="s">
        <v>93</v>
      </c>
      <c r="E371" s="8" t="s">
        <v>52</v>
      </c>
      <c r="F371" s="8" t="s">
        <v>61</v>
      </c>
      <c r="G371" s="8" t="s">
        <v>36</v>
      </c>
      <c r="H371" s="8" t="s">
        <v>132</v>
      </c>
      <c r="I371" s="8" t="s">
        <v>56</v>
      </c>
      <c r="J371" s="8" t="s">
        <v>29</v>
      </c>
      <c r="K371" s="8" t="n">
        <v>2</v>
      </c>
      <c r="L371" s="12" t="n">
        <v>579.11</v>
      </c>
      <c r="M371" s="13" t="n">
        <v>0.2</v>
      </c>
      <c r="N371" s="12" t="n">
        <v>926.58</v>
      </c>
      <c r="O371" s="12" t="n">
        <v>134.01</v>
      </c>
      <c r="P371" s="8" t="str">
        <f aca="false">TEXT(B371,"mmm-yyyy")</f>
        <v>Mar-2024</v>
      </c>
      <c r="Q371" s="14" t="n">
        <f aca="false">IFERROR(O371/N371,"")</f>
        <v>0.144628634332707</v>
      </c>
      <c r="R371" s="8" t="str">
        <f aca="false">IF(OR(N371&gt;$U$3,N371&lt;$U$2),"Sales Outlier",IF(OR(O371&gt;$U$6,O371&lt;$U$4),"Profit Outlier",""))</f>
        <v/>
      </c>
    </row>
    <row r="372" customFormat="false" ht="15" hidden="false" customHeight="true" outlineLevel="0" collapsed="false">
      <c r="A372" s="8" t="s">
        <v>1001</v>
      </c>
      <c r="B372" s="11" t="n">
        <v>45381</v>
      </c>
      <c r="C372" s="11" t="n">
        <v>45295</v>
      </c>
      <c r="D372" s="8" t="s">
        <v>1003</v>
      </c>
      <c r="E372" s="8" t="s">
        <v>52</v>
      </c>
      <c r="F372" s="8" t="s">
        <v>154</v>
      </c>
      <c r="G372" s="8" t="s">
        <v>119</v>
      </c>
      <c r="H372" s="8" t="s">
        <v>45</v>
      </c>
      <c r="I372" s="8" t="s">
        <v>46</v>
      </c>
      <c r="J372" s="8" t="s">
        <v>39</v>
      </c>
      <c r="K372" s="8" t="n">
        <v>2</v>
      </c>
      <c r="L372" s="12" t="n">
        <v>297.83</v>
      </c>
      <c r="M372" s="13" t="n">
        <v>0.2</v>
      </c>
      <c r="N372" s="12" t="n">
        <v>238.26</v>
      </c>
      <c r="O372" s="12" t="n">
        <v>2.43</v>
      </c>
      <c r="P372" s="8" t="str">
        <f aca="false">TEXT(B372,"mmm-yyyy")</f>
        <v>Mar-2024</v>
      </c>
      <c r="Q372" s="14" t="n">
        <f aca="false">IFERROR(O372/N372,"")</f>
        <v>0.0101989423319063</v>
      </c>
      <c r="R372" s="8" t="str">
        <f aca="false">IF(OR(N372&gt;$U$3,N372&lt;$U$2),"Sales Outlier",IF(OR(O372&gt;$U$6,O372&lt;$U$4),"Profit Outlier",""))</f>
        <v/>
      </c>
    </row>
    <row r="373" customFormat="false" ht="15" hidden="false" customHeight="true" outlineLevel="0" collapsed="false">
      <c r="A373" s="8" t="s">
        <v>1626</v>
      </c>
      <c r="B373" s="11" t="n">
        <v>45385</v>
      </c>
      <c r="C373" s="11" t="n">
        <v>45507</v>
      </c>
      <c r="D373" s="8" t="s">
        <v>2282</v>
      </c>
      <c r="E373" s="8" t="s">
        <v>2285</v>
      </c>
      <c r="F373" s="8" t="s">
        <v>61</v>
      </c>
      <c r="G373" s="8" t="s">
        <v>36</v>
      </c>
      <c r="H373" s="8" t="s">
        <v>77</v>
      </c>
      <c r="I373" s="8" t="s">
        <v>71</v>
      </c>
      <c r="J373" s="8" t="s">
        <v>39</v>
      </c>
      <c r="K373" s="8" t="n">
        <v>4</v>
      </c>
      <c r="L373" s="12" t="n">
        <v>763.62</v>
      </c>
      <c r="M373" s="13" t="n">
        <v>0</v>
      </c>
      <c r="N373" s="12" t="n">
        <v>3054.48</v>
      </c>
      <c r="O373" s="12" t="n">
        <v>659.53</v>
      </c>
      <c r="P373" s="8" t="str">
        <f aca="false">TEXT(B373,"mmm-yyyy")</f>
        <v>Apr-2024</v>
      </c>
      <c r="Q373" s="14" t="n">
        <f aca="false">IFERROR(O373/N373,"")</f>
        <v>0.215922186427804</v>
      </c>
      <c r="R373" s="8" t="str">
        <f aca="false">IF(OR(N373&gt;$U$3,N373&lt;$U$2),"Sales Outlier",IF(OR(O373&gt;$U$6,O373&lt;$U$4),"Profit Outlier",""))</f>
        <v/>
      </c>
    </row>
    <row r="374" customFormat="false" ht="15" hidden="false" customHeight="true" outlineLevel="0" collapsed="false">
      <c r="A374" s="8" t="s">
        <v>1156</v>
      </c>
      <c r="B374" s="11" t="n">
        <v>45386</v>
      </c>
      <c r="C374" s="11" t="n">
        <v>45477</v>
      </c>
      <c r="D374" s="8" t="s">
        <v>2282</v>
      </c>
      <c r="E374" s="8" t="s">
        <v>24</v>
      </c>
      <c r="F374" s="8" t="s">
        <v>147</v>
      </c>
      <c r="G374" s="8" t="s">
        <v>215</v>
      </c>
      <c r="H374" s="8" t="s">
        <v>114</v>
      </c>
      <c r="I374" s="8" t="s">
        <v>96</v>
      </c>
      <c r="J374" s="8" t="s">
        <v>29</v>
      </c>
      <c r="K374" s="8" t="n">
        <v>3</v>
      </c>
      <c r="L374" s="12" t="n">
        <v>1102.48</v>
      </c>
      <c r="M374" s="13" t="n">
        <v>0.2</v>
      </c>
      <c r="N374" s="12" t="n">
        <v>2645.95</v>
      </c>
      <c r="O374" s="12" t="n">
        <v>-167.19</v>
      </c>
      <c r="P374" s="8" t="str">
        <f aca="false">TEXT(B374,"mmm-yyyy")</f>
        <v>Apr-2024</v>
      </c>
      <c r="Q374" s="14" t="n">
        <f aca="false">IFERROR(O374/N374,"")</f>
        <v>-0.0631871350554621</v>
      </c>
      <c r="R374" s="8" t="str">
        <f aca="false">IF(OR(N374&gt;$U$3,N374&lt;$U$2),"Sales Outlier",IF(OR(O374&gt;$U$6,O374&lt;$U$4),"Profit Outlier",""))</f>
        <v/>
      </c>
    </row>
    <row r="375" customFormat="false" ht="15" hidden="false" customHeight="true" outlineLevel="0" collapsed="false">
      <c r="A375" s="8" t="s">
        <v>1460</v>
      </c>
      <c r="B375" s="11" t="n">
        <v>45387</v>
      </c>
      <c r="C375" s="11" t="n">
        <v>45390</v>
      </c>
      <c r="D375" s="8" t="s">
        <v>817</v>
      </c>
      <c r="E375" s="8" t="s">
        <v>2285</v>
      </c>
      <c r="F375" s="8" t="s">
        <v>61</v>
      </c>
      <c r="G375" s="8" t="s">
        <v>36</v>
      </c>
      <c r="H375" s="8" t="s">
        <v>77</v>
      </c>
      <c r="I375" s="8" t="s">
        <v>127</v>
      </c>
      <c r="J375" s="8" t="s">
        <v>29</v>
      </c>
      <c r="K375" s="8" t="n">
        <v>2</v>
      </c>
      <c r="L375" s="12" t="n">
        <v>87.31</v>
      </c>
      <c r="M375" s="13" t="n">
        <v>0.05</v>
      </c>
      <c r="N375" s="12" t="n">
        <v>165.89</v>
      </c>
      <c r="O375" s="12" t="n">
        <v>-2.74</v>
      </c>
      <c r="P375" s="8" t="str">
        <f aca="false">TEXT(B375,"mmm-yyyy")</f>
        <v>Apr-2024</v>
      </c>
      <c r="Q375" s="14" t="n">
        <f aca="false">IFERROR(O375/N375,"")</f>
        <v>-0.0165169690758937</v>
      </c>
      <c r="R375" s="8" t="str">
        <f aca="false">IF(OR(N375&gt;$U$3,N375&lt;$U$2),"Sales Outlier",IF(OR(O375&gt;$U$6,O375&lt;$U$4),"Profit Outlier",""))</f>
        <v/>
      </c>
    </row>
    <row r="376" customFormat="false" ht="15" hidden="false" customHeight="true" outlineLevel="0" collapsed="false">
      <c r="A376" s="8" t="s">
        <v>1896</v>
      </c>
      <c r="B376" s="11" t="n">
        <v>45387</v>
      </c>
      <c r="C376" s="11" t="n">
        <v>45389</v>
      </c>
      <c r="D376" s="8" t="s">
        <v>1892</v>
      </c>
      <c r="E376" s="8" t="s">
        <v>52</v>
      </c>
      <c r="F376" s="8" t="s">
        <v>147</v>
      </c>
      <c r="G376" s="8" t="s">
        <v>326</v>
      </c>
      <c r="H376" s="8" t="s">
        <v>45</v>
      </c>
      <c r="I376" s="8" t="s">
        <v>138</v>
      </c>
      <c r="J376" s="8" t="s">
        <v>29</v>
      </c>
      <c r="K376" s="8" t="n">
        <v>1</v>
      </c>
      <c r="L376" s="12" t="n">
        <v>270.05</v>
      </c>
      <c r="M376" s="13" t="n">
        <v>0</v>
      </c>
      <c r="N376" s="12" t="n">
        <v>270.05</v>
      </c>
      <c r="O376" s="12" t="n">
        <v>71.97</v>
      </c>
      <c r="P376" s="8" t="str">
        <f aca="false">TEXT(B376,"mmm-yyyy")</f>
        <v>Apr-2024</v>
      </c>
      <c r="Q376" s="14" t="n">
        <f aca="false">IFERROR(O376/N376,"")</f>
        <v>0.266506202555082</v>
      </c>
      <c r="R376" s="8" t="str">
        <f aca="false">IF(OR(N376&gt;$U$3,N376&lt;$U$2),"Sales Outlier",IF(OR(O376&gt;$U$6,O376&lt;$U$4),"Profit Outlier",""))</f>
        <v/>
      </c>
    </row>
    <row r="377" customFormat="false" ht="15" hidden="false" customHeight="true" outlineLevel="0" collapsed="false">
      <c r="A377" s="8" t="s">
        <v>2118</v>
      </c>
      <c r="B377" s="11" t="n">
        <v>45387</v>
      </c>
      <c r="C377" s="11" t="n">
        <v>45570</v>
      </c>
      <c r="D377" s="8" t="s">
        <v>1199</v>
      </c>
      <c r="E377" s="8" t="s">
        <v>52</v>
      </c>
      <c r="F377" s="8" t="s">
        <v>126</v>
      </c>
      <c r="G377" s="8" t="s">
        <v>82</v>
      </c>
      <c r="H377" s="8" t="s">
        <v>37</v>
      </c>
      <c r="I377" s="8" t="s">
        <v>527</v>
      </c>
      <c r="J377" s="8" t="s">
        <v>39</v>
      </c>
      <c r="K377" s="8" t="n">
        <v>3</v>
      </c>
      <c r="L377" s="12" t="n">
        <v>517.09</v>
      </c>
      <c r="M377" s="13" t="n">
        <v>0.2</v>
      </c>
      <c r="N377" s="12" t="n">
        <v>1241.02</v>
      </c>
      <c r="O377" s="12" t="n">
        <v>18.74</v>
      </c>
      <c r="P377" s="8" t="str">
        <f aca="false">TEXT(B377,"mmm-yyyy")</f>
        <v>Apr-2024</v>
      </c>
      <c r="Q377" s="14" t="n">
        <f aca="false">IFERROR(O377/N377,"")</f>
        <v>0.0151004818616944</v>
      </c>
      <c r="R377" s="8" t="str">
        <f aca="false">IF(OR(N377&gt;$U$3,N377&lt;$U$2),"Sales Outlier",IF(OR(O377&gt;$U$6,O377&lt;$U$4),"Profit Outlier",""))</f>
        <v/>
      </c>
    </row>
    <row r="378" customFormat="false" ht="15" hidden="false" customHeight="true" outlineLevel="0" collapsed="false">
      <c r="A378" s="8" t="s">
        <v>2167</v>
      </c>
      <c r="B378" s="11" t="n">
        <v>45387</v>
      </c>
      <c r="C378" s="11" t="n">
        <v>45390</v>
      </c>
      <c r="D378" s="8" t="s">
        <v>464</v>
      </c>
      <c r="E378" s="8" t="s">
        <v>24</v>
      </c>
      <c r="F378" s="8" t="s">
        <v>126</v>
      </c>
      <c r="G378" s="8" t="s">
        <v>82</v>
      </c>
      <c r="H378" s="8" t="s">
        <v>132</v>
      </c>
      <c r="I378" s="8" t="s">
        <v>241</v>
      </c>
      <c r="J378" s="8" t="s">
        <v>39</v>
      </c>
      <c r="K378" s="8" t="n">
        <v>2</v>
      </c>
      <c r="L378" s="12" t="n">
        <v>360.76</v>
      </c>
      <c r="M378" s="13" t="n">
        <v>0</v>
      </c>
      <c r="N378" s="12" t="n">
        <v>721.52</v>
      </c>
      <c r="O378" s="12" t="n">
        <v>191.07</v>
      </c>
      <c r="P378" s="8" t="str">
        <f aca="false">TEXT(B378,"mmm-yyyy")</f>
        <v>Apr-2024</v>
      </c>
      <c r="Q378" s="14" t="n">
        <f aca="false">IFERROR(O378/N378,"")</f>
        <v>0.264815944117973</v>
      </c>
      <c r="R378" s="8" t="str">
        <f aca="false">IF(OR(N378&gt;$U$3,N378&lt;$U$2),"Sales Outlier",IF(OR(O378&gt;$U$6,O378&lt;$U$4),"Profit Outlier",""))</f>
        <v/>
      </c>
    </row>
    <row r="379" customFormat="false" ht="15" hidden="false" customHeight="true" outlineLevel="0" collapsed="false">
      <c r="A379" s="8" t="s">
        <v>686</v>
      </c>
      <c r="B379" s="11" t="n">
        <v>45387</v>
      </c>
      <c r="C379" s="11" t="n">
        <v>45417</v>
      </c>
      <c r="D379" s="8" t="s">
        <v>806</v>
      </c>
      <c r="E379" s="8" t="s">
        <v>34</v>
      </c>
      <c r="F379" s="8" t="s">
        <v>126</v>
      </c>
      <c r="G379" s="8" t="s">
        <v>82</v>
      </c>
      <c r="H379" s="8" t="s">
        <v>77</v>
      </c>
      <c r="I379" s="8" t="s">
        <v>127</v>
      </c>
      <c r="J379" s="8" t="s">
        <v>64</v>
      </c>
      <c r="K379" s="8" t="n">
        <v>2</v>
      </c>
      <c r="L379" s="12" t="n">
        <v>1158.77</v>
      </c>
      <c r="M379" s="13" t="n">
        <v>0.1</v>
      </c>
      <c r="N379" s="12" t="n">
        <v>2085.79</v>
      </c>
      <c r="O379" s="12" t="n">
        <v>-68.54</v>
      </c>
      <c r="P379" s="8" t="str">
        <f aca="false">TEXT(B379,"mmm-yyyy")</f>
        <v>Apr-2024</v>
      </c>
      <c r="Q379" s="14" t="n">
        <f aca="false">IFERROR(O379/N379,"")</f>
        <v>-0.0328604509562324</v>
      </c>
      <c r="R379" s="8" t="str">
        <f aca="false">IF(OR(N379&gt;$U$3,N379&lt;$U$2),"Sales Outlier",IF(OR(O379&gt;$U$6,O379&lt;$U$4),"Profit Outlier",""))</f>
        <v/>
      </c>
    </row>
    <row r="380" customFormat="false" ht="15" hidden="false" customHeight="true" outlineLevel="0" collapsed="false">
      <c r="A380" s="8" t="s">
        <v>1411</v>
      </c>
      <c r="B380" s="11" t="n">
        <v>45388</v>
      </c>
      <c r="C380" s="11" t="n">
        <v>45541</v>
      </c>
      <c r="D380" s="8" t="s">
        <v>1413</v>
      </c>
      <c r="E380" s="8" t="s">
        <v>34</v>
      </c>
      <c r="F380" s="8" t="s">
        <v>154</v>
      </c>
      <c r="G380" s="8" t="s">
        <v>119</v>
      </c>
      <c r="H380" s="8" t="s">
        <v>132</v>
      </c>
      <c r="I380" s="8" t="s">
        <v>241</v>
      </c>
      <c r="J380" s="8" t="s">
        <v>64</v>
      </c>
      <c r="K380" s="8" t="n">
        <v>3</v>
      </c>
      <c r="L380" s="12" t="n">
        <v>1048.06</v>
      </c>
      <c r="M380" s="13" t="n">
        <v>0</v>
      </c>
      <c r="N380" s="12" t="n">
        <v>3144.18</v>
      </c>
      <c r="O380" s="12" t="n">
        <v>405.21</v>
      </c>
      <c r="P380" s="8" t="str">
        <f aca="false">TEXT(B380,"mmm-yyyy")</f>
        <v>Apr-2024</v>
      </c>
      <c r="Q380" s="14" t="n">
        <f aca="false">IFERROR(O380/N380,"")</f>
        <v>0.128876209377326</v>
      </c>
      <c r="R380" s="8" t="str">
        <f aca="false">IF(OR(N380&gt;$U$3,N380&lt;$U$2),"Sales Outlier",IF(OR(O380&gt;$U$6,O380&lt;$U$4),"Profit Outlier",""))</f>
        <v/>
      </c>
    </row>
    <row r="381" customFormat="false" ht="15" hidden="false" customHeight="true" outlineLevel="0" collapsed="false">
      <c r="A381" s="8" t="s">
        <v>838</v>
      </c>
      <c r="B381" s="11" t="n">
        <v>45388</v>
      </c>
      <c r="C381" s="11" t="n">
        <v>45571</v>
      </c>
      <c r="D381" s="8" t="s">
        <v>841</v>
      </c>
      <c r="E381" s="8" t="s">
        <v>52</v>
      </c>
      <c r="F381" s="8" t="s">
        <v>61</v>
      </c>
      <c r="G381" s="8" t="s">
        <v>36</v>
      </c>
      <c r="H381" s="8" t="s">
        <v>114</v>
      </c>
      <c r="I381" s="8" t="s">
        <v>201</v>
      </c>
      <c r="J381" s="8" t="s">
        <v>29</v>
      </c>
      <c r="K381" s="8" t="n">
        <v>1</v>
      </c>
      <c r="L381" s="12" t="n">
        <v>315.01</v>
      </c>
      <c r="M381" s="13" t="n">
        <v>0</v>
      </c>
      <c r="N381" s="12" t="n">
        <v>315.01</v>
      </c>
      <c r="O381" s="12" t="n">
        <v>-9.4</v>
      </c>
      <c r="P381" s="8" t="str">
        <f aca="false">TEXT(B381,"mmm-yyyy")</f>
        <v>Apr-2024</v>
      </c>
      <c r="Q381" s="14" t="n">
        <f aca="false">IFERROR(O381/N381,"")</f>
        <v>-0.0298403225294435</v>
      </c>
      <c r="R381" s="8" t="str">
        <f aca="false">IF(OR(N381&gt;$U$3,N381&lt;$U$2),"Sales Outlier",IF(OR(O381&gt;$U$6,O381&lt;$U$4),"Profit Outlier",""))</f>
        <v/>
      </c>
    </row>
    <row r="382" customFormat="false" ht="15" hidden="false" customHeight="true" outlineLevel="0" collapsed="false">
      <c r="A382" s="8" t="s">
        <v>355</v>
      </c>
      <c r="B382" s="11" t="n">
        <v>45389</v>
      </c>
      <c r="C382" s="11" t="n">
        <v>45603</v>
      </c>
      <c r="D382" s="8" t="s">
        <v>358</v>
      </c>
      <c r="E382" s="8" t="s">
        <v>24</v>
      </c>
      <c r="F382" s="8" t="s">
        <v>126</v>
      </c>
      <c r="G382" s="8" t="s">
        <v>26</v>
      </c>
      <c r="H382" s="8" t="s">
        <v>132</v>
      </c>
      <c r="I382" s="8" t="s">
        <v>220</v>
      </c>
      <c r="J382" s="8" t="s">
        <v>39</v>
      </c>
      <c r="K382" s="8" t="n">
        <v>1</v>
      </c>
      <c r="L382" s="12" t="n">
        <v>329.41</v>
      </c>
      <c r="M382" s="13" t="n">
        <v>0.2</v>
      </c>
      <c r="N382" s="12" t="n">
        <v>263.53</v>
      </c>
      <c r="O382" s="12" t="n">
        <v>68.19</v>
      </c>
      <c r="P382" s="8" t="str">
        <f aca="false">TEXT(B382,"mmm-yyyy")</f>
        <v>Apr-2024</v>
      </c>
      <c r="Q382" s="14" t="n">
        <f aca="false">IFERROR(O382/N382,"")</f>
        <v>0.258756118847949</v>
      </c>
      <c r="R382" s="8" t="str">
        <f aca="false">IF(OR(N382&gt;$U$3,N382&lt;$U$2),"Sales Outlier",IF(OR(O382&gt;$U$6,O382&lt;$U$4),"Profit Outlier",""))</f>
        <v/>
      </c>
    </row>
    <row r="383" customFormat="false" ht="15" hidden="false" customHeight="true" outlineLevel="0" collapsed="false">
      <c r="A383" s="8" t="s">
        <v>1563</v>
      </c>
      <c r="B383" s="11" t="n">
        <v>45389</v>
      </c>
      <c r="C383" s="11" t="n">
        <v>45395</v>
      </c>
      <c r="D383" s="8" t="s">
        <v>186</v>
      </c>
      <c r="E383" s="8" t="s">
        <v>2285</v>
      </c>
      <c r="F383" s="8" t="s">
        <v>154</v>
      </c>
      <c r="G383" s="8" t="s">
        <v>102</v>
      </c>
      <c r="H383" s="8" t="s">
        <v>45</v>
      </c>
      <c r="I383" s="8" t="s">
        <v>149</v>
      </c>
      <c r="J383" s="8" t="s">
        <v>39</v>
      </c>
      <c r="K383" s="8" t="n">
        <v>3</v>
      </c>
      <c r="L383" s="12" t="n">
        <v>353.73</v>
      </c>
      <c r="M383" s="13" t="n">
        <v>0.1</v>
      </c>
      <c r="N383" s="12" t="n">
        <v>955.07</v>
      </c>
      <c r="O383" s="12" t="n">
        <v>332.48</v>
      </c>
      <c r="P383" s="8" t="str">
        <f aca="false">TEXT(B383,"mmm-yyyy")</f>
        <v>Apr-2024</v>
      </c>
      <c r="Q383" s="14" t="n">
        <f aca="false">IFERROR(O383/N383,"")</f>
        <v>0.348121080130252</v>
      </c>
      <c r="R383" s="8" t="str">
        <f aca="false">IF(OR(N383&gt;$U$3,N383&lt;$U$2),"Sales Outlier",IF(OR(O383&gt;$U$6,O383&lt;$U$4),"Profit Outlier",""))</f>
        <v/>
      </c>
    </row>
    <row r="384" customFormat="false" ht="15" hidden="false" customHeight="true" outlineLevel="0" collapsed="false">
      <c r="A384" s="8" t="s">
        <v>2036</v>
      </c>
      <c r="B384" s="11" t="n">
        <v>45390</v>
      </c>
      <c r="C384" s="11" t="n">
        <v>45393</v>
      </c>
      <c r="D384" s="8" t="s">
        <v>577</v>
      </c>
      <c r="E384" s="8" t="s">
        <v>34</v>
      </c>
      <c r="F384" s="8" t="s">
        <v>126</v>
      </c>
      <c r="G384" s="8" t="s">
        <v>89</v>
      </c>
      <c r="H384" s="8" t="s">
        <v>37</v>
      </c>
      <c r="I384" s="8" t="s">
        <v>404</v>
      </c>
      <c r="J384" s="8" t="s">
        <v>64</v>
      </c>
      <c r="K384" s="8" t="n">
        <v>1</v>
      </c>
      <c r="L384" s="12" t="n">
        <v>528.61</v>
      </c>
      <c r="M384" s="13" t="n">
        <v>0</v>
      </c>
      <c r="N384" s="12" t="n">
        <v>528.61</v>
      </c>
      <c r="O384" s="12" t="n">
        <v>137.45</v>
      </c>
      <c r="P384" s="8" t="str">
        <f aca="false">TEXT(B384,"mmm-yyyy")</f>
        <v>Apr-2024</v>
      </c>
      <c r="Q384" s="14" t="n">
        <f aca="false">IFERROR(O384/N384,"")</f>
        <v>0.260021565993833</v>
      </c>
      <c r="R384" s="8" t="str">
        <f aca="false">IF(OR(N384&gt;$U$3,N384&lt;$U$2),"Sales Outlier",IF(OR(O384&gt;$U$6,O384&lt;$U$4),"Profit Outlier",""))</f>
        <v/>
      </c>
    </row>
    <row r="385" customFormat="false" ht="15" hidden="false" customHeight="true" outlineLevel="0" collapsed="false">
      <c r="A385" s="8" t="s">
        <v>1936</v>
      </c>
      <c r="B385" s="11" t="n">
        <v>45391</v>
      </c>
      <c r="C385" s="11" t="n">
        <v>45395</v>
      </c>
      <c r="D385" s="8" t="s">
        <v>1939</v>
      </c>
      <c r="E385" s="8" t="s">
        <v>52</v>
      </c>
      <c r="F385" s="8" t="s">
        <v>154</v>
      </c>
      <c r="G385" s="8" t="s">
        <v>119</v>
      </c>
      <c r="H385" s="8" t="s">
        <v>77</v>
      </c>
      <c r="I385" s="8" t="s">
        <v>425</v>
      </c>
      <c r="J385" s="8" t="s">
        <v>39</v>
      </c>
      <c r="K385" s="8" t="n">
        <v>2</v>
      </c>
      <c r="L385" s="12" t="n">
        <v>499.51</v>
      </c>
      <c r="M385" s="13" t="n">
        <v>0</v>
      </c>
      <c r="N385" s="12" t="n">
        <v>999.02</v>
      </c>
      <c r="O385" s="12" t="n">
        <v>208.86</v>
      </c>
      <c r="P385" s="8" t="str">
        <f aca="false">TEXT(B385,"mmm-yyyy")</f>
        <v>Apr-2024</v>
      </c>
      <c r="Q385" s="14" t="n">
        <f aca="false">IFERROR(O385/N385,"")</f>
        <v>0.209064883585914</v>
      </c>
      <c r="R385" s="8" t="str">
        <f aca="false">IF(OR(N385&gt;$U$3,N385&lt;$U$2),"Sales Outlier",IF(OR(O385&gt;$U$6,O385&lt;$U$4),"Profit Outlier",""))</f>
        <v/>
      </c>
    </row>
    <row r="386" customFormat="false" ht="15" hidden="false" customHeight="true" outlineLevel="0" collapsed="false">
      <c r="A386" s="8" t="s">
        <v>566</v>
      </c>
      <c r="B386" s="11" t="n">
        <v>45398</v>
      </c>
      <c r="C386" s="11" t="n">
        <v>45404</v>
      </c>
      <c r="D386" s="8" t="s">
        <v>569</v>
      </c>
      <c r="E386" s="8" t="s">
        <v>52</v>
      </c>
      <c r="F386" s="8" t="s">
        <v>147</v>
      </c>
      <c r="G386" s="8" t="s">
        <v>326</v>
      </c>
      <c r="H386" s="8" t="s">
        <v>77</v>
      </c>
      <c r="I386" s="8" t="s">
        <v>71</v>
      </c>
      <c r="J386" s="8" t="s">
        <v>39</v>
      </c>
      <c r="K386" s="8" t="n">
        <v>1</v>
      </c>
      <c r="L386" s="12" t="n">
        <v>210.22</v>
      </c>
      <c r="M386" s="13" t="n">
        <v>0.15</v>
      </c>
      <c r="N386" s="12" t="n">
        <v>178.69</v>
      </c>
      <c r="O386" s="12" t="n">
        <v>36.31</v>
      </c>
      <c r="P386" s="8" t="str">
        <f aca="false">TEXT(B386,"mmm-yyyy")</f>
        <v>Apr-2024</v>
      </c>
      <c r="Q386" s="14" t="n">
        <f aca="false">IFERROR(O386/N386,"")</f>
        <v>0.203201074486541</v>
      </c>
      <c r="R386" s="8" t="str">
        <f aca="false">IF(OR(N386&gt;$U$3,N386&lt;$U$2),"Sales Outlier",IF(OR(O386&gt;$U$6,O386&lt;$U$4),"Profit Outlier",""))</f>
        <v/>
      </c>
    </row>
    <row r="387" customFormat="false" ht="15" hidden="false" customHeight="true" outlineLevel="0" collapsed="false">
      <c r="A387" s="8" t="s">
        <v>1819</v>
      </c>
      <c r="B387" s="11" t="n">
        <v>45398</v>
      </c>
      <c r="C387" s="11" t="n">
        <v>45401</v>
      </c>
      <c r="D387" s="8" t="s">
        <v>1821</v>
      </c>
      <c r="E387" s="8" t="s">
        <v>52</v>
      </c>
      <c r="F387" s="8" t="s">
        <v>147</v>
      </c>
      <c r="G387" s="8" t="s">
        <v>54</v>
      </c>
      <c r="H387" s="8" t="s">
        <v>77</v>
      </c>
      <c r="I387" s="8" t="s">
        <v>127</v>
      </c>
      <c r="J387" s="8" t="s">
        <v>64</v>
      </c>
      <c r="K387" s="8" t="n">
        <v>1</v>
      </c>
      <c r="L387" s="12" t="n">
        <v>150.25</v>
      </c>
      <c r="M387" s="13" t="n">
        <v>0.15</v>
      </c>
      <c r="N387" s="12" t="n">
        <v>127.71</v>
      </c>
      <c r="O387" s="12" t="n">
        <v>16.5</v>
      </c>
      <c r="P387" s="8" t="str">
        <f aca="false">TEXT(B387,"mmm-yyyy")</f>
        <v>Apr-2024</v>
      </c>
      <c r="Q387" s="14" t="n">
        <f aca="false">IFERROR(O387/N387,"")</f>
        <v>0.129198966408269</v>
      </c>
      <c r="R387" s="8" t="str">
        <f aca="false">IF(OR(N387&gt;$U$3,N387&lt;$U$2),"Sales Outlier",IF(OR(O387&gt;$U$6,O387&lt;$U$4),"Profit Outlier",""))</f>
        <v/>
      </c>
    </row>
    <row r="388" customFormat="false" ht="15" hidden="false" customHeight="true" outlineLevel="0" collapsed="false">
      <c r="A388" s="8" t="s">
        <v>2099</v>
      </c>
      <c r="B388" s="11" t="n">
        <v>45401</v>
      </c>
      <c r="C388" s="11" t="n">
        <v>45402</v>
      </c>
      <c r="D388" s="8" t="s">
        <v>2004</v>
      </c>
      <c r="E388" s="8" t="s">
        <v>52</v>
      </c>
      <c r="F388" s="8" t="s">
        <v>126</v>
      </c>
      <c r="G388" s="8" t="s">
        <v>82</v>
      </c>
      <c r="H388" s="8" t="s">
        <v>114</v>
      </c>
      <c r="I388" s="8" t="s">
        <v>109</v>
      </c>
      <c r="J388" s="8" t="s">
        <v>39</v>
      </c>
      <c r="K388" s="8" t="n">
        <v>3</v>
      </c>
      <c r="L388" s="12" t="n">
        <v>1029.76</v>
      </c>
      <c r="M388" s="13" t="n">
        <v>0.05</v>
      </c>
      <c r="N388" s="12" t="n">
        <v>2934.82</v>
      </c>
      <c r="O388" s="12" t="n">
        <v>142.69</v>
      </c>
      <c r="P388" s="8" t="str">
        <f aca="false">TEXT(B388,"mmm-yyyy")</f>
        <v>Apr-2024</v>
      </c>
      <c r="Q388" s="14" t="n">
        <f aca="false">IFERROR(O388/N388,"")</f>
        <v>0.0486196768455987</v>
      </c>
      <c r="R388" s="8" t="str">
        <f aca="false">IF(OR(N388&gt;$U$3,N388&lt;$U$2),"Sales Outlier",IF(OR(O388&gt;$U$6,O388&lt;$U$4),"Profit Outlier",""))</f>
        <v/>
      </c>
    </row>
    <row r="389" customFormat="false" ht="15" hidden="false" customHeight="true" outlineLevel="0" collapsed="false">
      <c r="A389" s="8" t="s">
        <v>1096</v>
      </c>
      <c r="B389" s="11" t="n">
        <v>45402</v>
      </c>
      <c r="C389" s="11" t="n">
        <v>45408</v>
      </c>
      <c r="D389" s="8" t="s">
        <v>1099</v>
      </c>
      <c r="E389" s="8" t="s">
        <v>2285</v>
      </c>
      <c r="F389" s="8" t="s">
        <v>147</v>
      </c>
      <c r="G389" s="8" t="s">
        <v>326</v>
      </c>
      <c r="H389" s="8" t="s">
        <v>45</v>
      </c>
      <c r="I389" s="8" t="s">
        <v>138</v>
      </c>
      <c r="J389" s="8" t="s">
        <v>47</v>
      </c>
      <c r="K389" s="8" t="n">
        <v>1</v>
      </c>
      <c r="L389" s="12" t="n">
        <v>550.47</v>
      </c>
      <c r="M389" s="13" t="n">
        <v>0</v>
      </c>
      <c r="N389" s="12" t="n">
        <v>550.47</v>
      </c>
      <c r="O389" s="12" t="n">
        <v>146.84</v>
      </c>
      <c r="P389" s="8" t="str">
        <f aca="false">TEXT(B389,"mmm-yyyy")</f>
        <v>Apr-2024</v>
      </c>
      <c r="Q389" s="14" t="n">
        <f aca="false">IFERROR(O389/N389,"")</f>
        <v>0.266753864879103</v>
      </c>
      <c r="R389" s="8" t="str">
        <f aca="false">IF(OR(N389&gt;$U$3,N389&lt;$U$2),"Sales Outlier",IF(OR(O389&gt;$U$6,O389&lt;$U$4),"Profit Outlier",""))</f>
        <v/>
      </c>
    </row>
    <row r="390" customFormat="false" ht="15" hidden="false" customHeight="true" outlineLevel="0" collapsed="false">
      <c r="A390" s="8" t="s">
        <v>1557</v>
      </c>
      <c r="B390" s="11" t="n">
        <v>45404</v>
      </c>
      <c r="C390" s="11" t="n">
        <v>45405</v>
      </c>
      <c r="D390" s="8" t="s">
        <v>113</v>
      </c>
      <c r="E390" s="8" t="s">
        <v>24</v>
      </c>
      <c r="F390" s="8" t="s">
        <v>61</v>
      </c>
      <c r="G390" s="8" t="s">
        <v>62</v>
      </c>
      <c r="H390" s="8" t="s">
        <v>37</v>
      </c>
      <c r="I390" s="8" t="s">
        <v>38</v>
      </c>
      <c r="J390" s="8" t="s">
        <v>47</v>
      </c>
      <c r="K390" s="8" t="n">
        <v>4</v>
      </c>
      <c r="L390" s="12" t="n">
        <v>617.82</v>
      </c>
      <c r="M390" s="13" t="n">
        <v>0.15</v>
      </c>
      <c r="N390" s="12" t="n">
        <v>2100.59</v>
      </c>
      <c r="O390" s="12" t="n">
        <v>85.74</v>
      </c>
      <c r="P390" s="8" t="str">
        <f aca="false">TEXT(B390,"mmm-yyyy")</f>
        <v>Apr-2024</v>
      </c>
      <c r="Q390" s="14" t="n">
        <f aca="false">IFERROR(O390/N390,"")</f>
        <v>0.0408171037660848</v>
      </c>
      <c r="R390" s="8" t="str">
        <f aca="false">IF(OR(N390&gt;$U$3,N390&lt;$U$2),"Sales Outlier",IF(OR(O390&gt;$U$6,O390&lt;$U$4),"Profit Outlier",""))</f>
        <v/>
      </c>
    </row>
    <row r="391" customFormat="false" ht="15" hidden="false" customHeight="true" outlineLevel="0" collapsed="false">
      <c r="A391" s="8" t="s">
        <v>2070</v>
      </c>
      <c r="B391" s="11" t="n">
        <v>45407</v>
      </c>
      <c r="C391" s="11" t="n">
        <v>45412</v>
      </c>
      <c r="D391" s="8" t="s">
        <v>2282</v>
      </c>
      <c r="E391" s="8" t="s">
        <v>52</v>
      </c>
      <c r="F391" s="8" t="s">
        <v>126</v>
      </c>
      <c r="G391" s="8" t="s">
        <v>26</v>
      </c>
      <c r="H391" s="8" t="s">
        <v>77</v>
      </c>
      <c r="I391" s="8" t="s">
        <v>78</v>
      </c>
      <c r="J391" s="8" t="s">
        <v>47</v>
      </c>
      <c r="K391" s="8" t="n">
        <v>5</v>
      </c>
      <c r="L391" s="12" t="n">
        <v>323.61</v>
      </c>
      <c r="M391" s="13" t="n">
        <v>0</v>
      </c>
      <c r="N391" s="12" t="n">
        <v>1618.05</v>
      </c>
      <c r="O391" s="12" t="n">
        <v>253.48</v>
      </c>
      <c r="P391" s="8" t="str">
        <f aca="false">TEXT(B391,"mmm-yyyy")</f>
        <v>Apr-2024</v>
      </c>
      <c r="Q391" s="14" t="n">
        <f aca="false">IFERROR(O391/N391,"")</f>
        <v>0.156657705262507</v>
      </c>
      <c r="R391" s="8" t="str">
        <f aca="false">IF(OR(N391&gt;$U$3,N391&lt;$U$2),"Sales Outlier",IF(OR(O391&gt;$U$6,O391&lt;$U$4),"Profit Outlier",""))</f>
        <v/>
      </c>
    </row>
    <row r="392" customFormat="false" ht="15" hidden="false" customHeight="true" outlineLevel="0" collapsed="false">
      <c r="A392" s="8" t="s">
        <v>1333</v>
      </c>
      <c r="B392" s="11" t="n">
        <v>45408</v>
      </c>
      <c r="C392" s="11" t="n">
        <v>45411</v>
      </c>
      <c r="D392" s="8" t="s">
        <v>1334</v>
      </c>
      <c r="E392" s="8" t="s">
        <v>2285</v>
      </c>
      <c r="F392" s="8" t="s">
        <v>147</v>
      </c>
      <c r="G392" s="8" t="s">
        <v>54</v>
      </c>
      <c r="H392" s="8" t="s">
        <v>114</v>
      </c>
      <c r="I392" s="8" t="s">
        <v>109</v>
      </c>
      <c r="J392" s="8" t="s">
        <v>47</v>
      </c>
      <c r="K392" s="8" t="n">
        <v>1</v>
      </c>
      <c r="L392" s="12" t="n">
        <v>279.68</v>
      </c>
      <c r="M392" s="13" t="n">
        <v>0</v>
      </c>
      <c r="N392" s="12" t="n">
        <v>279.68</v>
      </c>
      <c r="O392" s="12" t="n">
        <v>27.6</v>
      </c>
      <c r="P392" s="8" t="str">
        <f aca="false">TEXT(B392,"mmm-yyyy")</f>
        <v>Apr-2024</v>
      </c>
      <c r="Q392" s="14" t="n">
        <f aca="false">IFERROR(O392/N392,"")</f>
        <v>0.0986842105263158</v>
      </c>
      <c r="R392" s="8" t="str">
        <f aca="false">IF(OR(N392&gt;$U$3,N392&lt;$U$2),"Sales Outlier",IF(OR(O392&gt;$U$6,O392&lt;$U$4),"Profit Outlier",""))</f>
        <v/>
      </c>
    </row>
    <row r="393" customFormat="false" ht="15" hidden="false" customHeight="true" outlineLevel="0" collapsed="false">
      <c r="A393" s="8" t="s">
        <v>1137</v>
      </c>
      <c r="B393" s="11" t="n">
        <v>45408</v>
      </c>
      <c r="C393" s="11" t="n">
        <v>45410</v>
      </c>
      <c r="D393" s="8" t="s">
        <v>1139</v>
      </c>
      <c r="E393" s="8" t="s">
        <v>34</v>
      </c>
      <c r="F393" s="8" t="s">
        <v>154</v>
      </c>
      <c r="G393" s="8" t="s">
        <v>182</v>
      </c>
      <c r="H393" s="8" t="s">
        <v>45</v>
      </c>
      <c r="I393" s="8" t="s">
        <v>46</v>
      </c>
      <c r="J393" s="8" t="s">
        <v>47</v>
      </c>
      <c r="K393" s="8" t="n">
        <v>2</v>
      </c>
      <c r="L393" s="12" t="n">
        <v>809.65</v>
      </c>
      <c r="M393" s="13" t="n">
        <v>0.1</v>
      </c>
      <c r="N393" s="12" t="n">
        <v>1457.37</v>
      </c>
      <c r="O393" s="12" t="n">
        <v>-733.22</v>
      </c>
      <c r="P393" s="8" t="str">
        <f aca="false">TEXT(B393,"mmm-yyyy")</f>
        <v>Apr-2024</v>
      </c>
      <c r="Q393" s="14" t="n">
        <f aca="false">IFERROR(O393/N393,"")</f>
        <v>-0.503111769831958</v>
      </c>
      <c r="R393" s="8" t="str">
        <f aca="false">IF(OR(N393&gt;$U$3,N393&lt;$U$2),"Sales Outlier",IF(OR(O393&gt;$U$6,O393&lt;$U$4),"Profit Outlier",""))</f>
        <v/>
      </c>
    </row>
    <row r="394" customFormat="false" ht="15" hidden="false" customHeight="true" outlineLevel="0" collapsed="false">
      <c r="A394" s="8" t="s">
        <v>216</v>
      </c>
      <c r="B394" s="11" t="n">
        <v>45409</v>
      </c>
      <c r="C394" s="11" t="n">
        <v>45415</v>
      </c>
      <c r="D394" s="8" t="s">
        <v>219</v>
      </c>
      <c r="E394" s="8" t="s">
        <v>34</v>
      </c>
      <c r="F394" s="8" t="s">
        <v>126</v>
      </c>
      <c r="G394" s="8" t="s">
        <v>82</v>
      </c>
      <c r="H394" s="8" t="s">
        <v>132</v>
      </c>
      <c r="I394" s="8" t="s">
        <v>220</v>
      </c>
      <c r="J394" s="8" t="s">
        <v>29</v>
      </c>
      <c r="K394" s="8" t="n">
        <v>1</v>
      </c>
      <c r="L394" s="12" t="n">
        <v>988.72</v>
      </c>
      <c r="M394" s="13" t="n">
        <v>0.15</v>
      </c>
      <c r="N394" s="12" t="n">
        <v>840.41</v>
      </c>
      <c r="O394" s="12" t="n">
        <v>180.11</v>
      </c>
      <c r="P394" s="8" t="str">
        <f aca="false">TEXT(B394,"mmm-yyyy")</f>
        <v>Apr-2024</v>
      </c>
      <c r="Q394" s="14" t="n">
        <f aca="false">IFERROR(O394/N394,"")</f>
        <v>0.214312061969753</v>
      </c>
      <c r="R394" s="8" t="str">
        <f aca="false">IF(OR(N394&gt;$U$3,N394&lt;$U$2),"Sales Outlier",IF(OR(O394&gt;$U$6,O394&lt;$U$4),"Profit Outlier",""))</f>
        <v/>
      </c>
    </row>
    <row r="395" customFormat="false" ht="15" hidden="false" customHeight="true" outlineLevel="0" collapsed="false">
      <c r="A395" s="8" t="s">
        <v>1452</v>
      </c>
      <c r="B395" s="11" t="n">
        <v>45410</v>
      </c>
      <c r="C395" s="11" t="n">
        <v>45411</v>
      </c>
      <c r="D395" s="8" t="s">
        <v>408</v>
      </c>
      <c r="E395" s="8" t="s">
        <v>2285</v>
      </c>
      <c r="F395" s="8" t="s">
        <v>126</v>
      </c>
      <c r="G395" s="8" t="s">
        <v>26</v>
      </c>
      <c r="H395" s="8" t="s">
        <v>37</v>
      </c>
      <c r="I395" s="8" t="s">
        <v>143</v>
      </c>
      <c r="J395" s="8" t="s">
        <v>29</v>
      </c>
      <c r="K395" s="8" t="n">
        <v>1</v>
      </c>
      <c r="L395" s="12" t="n">
        <v>1121.83</v>
      </c>
      <c r="M395" s="13" t="n">
        <v>0</v>
      </c>
      <c r="N395" s="12" t="n">
        <v>1121.83</v>
      </c>
      <c r="O395" s="12" t="n">
        <v>389.03</v>
      </c>
      <c r="P395" s="8" t="str">
        <f aca="false">TEXT(B395,"mmm-yyyy")</f>
        <v>Apr-2024</v>
      </c>
      <c r="Q395" s="14" t="n">
        <f aca="false">IFERROR(O395/N395,"")</f>
        <v>0.346781597924819</v>
      </c>
      <c r="R395" s="8" t="str">
        <f aca="false">IF(OR(N395&gt;$U$3,N395&lt;$U$2),"Sales Outlier",IF(OR(O395&gt;$U$6,O395&lt;$U$4),"Profit Outlier",""))</f>
        <v/>
      </c>
    </row>
    <row r="396" customFormat="false" ht="15" hidden="false" customHeight="true" outlineLevel="0" collapsed="false">
      <c r="A396" s="8" t="s">
        <v>1526</v>
      </c>
      <c r="B396" s="11" t="n">
        <v>45411</v>
      </c>
      <c r="C396" s="11" t="n">
        <v>45412</v>
      </c>
      <c r="D396" s="8" t="s">
        <v>813</v>
      </c>
      <c r="E396" s="8" t="s">
        <v>24</v>
      </c>
      <c r="F396" s="8" t="s">
        <v>61</v>
      </c>
      <c r="G396" s="8" t="s">
        <v>62</v>
      </c>
      <c r="H396" s="8" t="s">
        <v>45</v>
      </c>
      <c r="I396" s="8" t="s">
        <v>28</v>
      </c>
      <c r="J396" s="8" t="s">
        <v>29</v>
      </c>
      <c r="K396" s="8" t="n">
        <v>3</v>
      </c>
      <c r="L396" s="12" t="n">
        <v>1071.99</v>
      </c>
      <c r="M396" s="13" t="n">
        <v>0.15</v>
      </c>
      <c r="N396" s="12" t="n">
        <v>2733.57</v>
      </c>
      <c r="O396" s="12" t="n">
        <v>619.96</v>
      </c>
      <c r="P396" s="8" t="str">
        <f aca="false">TEXT(B396,"mmm-yyyy")</f>
        <v>Apr-2024</v>
      </c>
      <c r="Q396" s="14" t="n">
        <f aca="false">IFERROR(O396/N396,"")</f>
        <v>0.226794997018551</v>
      </c>
      <c r="R396" s="8" t="str">
        <f aca="false">IF(OR(N396&gt;$U$3,N396&lt;$U$2),"Sales Outlier",IF(OR(O396&gt;$U$6,O396&lt;$U$4),"Profit Outlier",""))</f>
        <v/>
      </c>
    </row>
    <row r="397" customFormat="false" ht="15" hidden="false" customHeight="true" outlineLevel="0" collapsed="false">
      <c r="A397" s="8" t="s">
        <v>1186</v>
      </c>
      <c r="B397" s="11" t="n">
        <v>45411</v>
      </c>
      <c r="C397" s="11" t="n">
        <v>45415</v>
      </c>
      <c r="D397" s="8" t="s">
        <v>1055</v>
      </c>
      <c r="E397" s="8" t="s">
        <v>52</v>
      </c>
      <c r="F397" s="8" t="s">
        <v>154</v>
      </c>
      <c r="G397" s="8" t="s">
        <v>102</v>
      </c>
      <c r="H397" s="8" t="s">
        <v>77</v>
      </c>
      <c r="I397" s="8" t="s">
        <v>71</v>
      </c>
      <c r="J397" s="8" t="s">
        <v>47</v>
      </c>
      <c r="K397" s="8" t="n">
        <v>1</v>
      </c>
      <c r="L397" s="12" t="n">
        <v>167.04</v>
      </c>
      <c r="M397" s="13" t="n">
        <v>0.15</v>
      </c>
      <c r="N397" s="12" t="n">
        <v>141.98</v>
      </c>
      <c r="O397" s="12" t="n">
        <v>23.17</v>
      </c>
      <c r="P397" s="8" t="str">
        <f aca="false">TEXT(B397,"mmm-yyyy")</f>
        <v>Apr-2024</v>
      </c>
      <c r="Q397" s="14" t="n">
        <f aca="false">IFERROR(O397/N397,"")</f>
        <v>0.163191998873081</v>
      </c>
      <c r="R397" s="8" t="str">
        <f aca="false">IF(OR(N397&gt;$U$3,N397&lt;$U$2),"Sales Outlier",IF(OR(O397&gt;$U$6,O397&lt;$U$4),"Profit Outlier",""))</f>
        <v/>
      </c>
    </row>
    <row r="398" customFormat="false" ht="15" hidden="false" customHeight="true" outlineLevel="0" collapsed="false">
      <c r="A398" s="8" t="s">
        <v>1224</v>
      </c>
      <c r="B398" s="11" t="n">
        <v>45411</v>
      </c>
      <c r="C398" s="11" t="n">
        <v>45417</v>
      </c>
      <c r="D398" s="8" t="s">
        <v>817</v>
      </c>
      <c r="E398" s="8" t="s">
        <v>2285</v>
      </c>
      <c r="F398" s="8" t="s">
        <v>61</v>
      </c>
      <c r="G398" s="8" t="s">
        <v>36</v>
      </c>
      <c r="H398" s="8" t="s">
        <v>132</v>
      </c>
      <c r="I398" s="8" t="s">
        <v>63</v>
      </c>
      <c r="J398" s="8" t="s">
        <v>64</v>
      </c>
      <c r="K398" s="8" t="n">
        <v>2</v>
      </c>
      <c r="L398" s="12" t="n">
        <v>604.96</v>
      </c>
      <c r="M398" s="13" t="n">
        <v>0</v>
      </c>
      <c r="N398" s="12" t="n">
        <v>604.96</v>
      </c>
      <c r="O398" s="12" t="n">
        <v>75.53</v>
      </c>
      <c r="P398" s="8" t="str">
        <f aca="false">TEXT(B398,"mmm-yyyy")</f>
        <v>Apr-2024</v>
      </c>
      <c r="Q398" s="14" t="n">
        <f aca="false">IFERROR(O398/N398,"")</f>
        <v>0.124851229833377</v>
      </c>
      <c r="R398" s="8" t="str">
        <f aca="false">IF(OR(N398&gt;$U$3,N398&lt;$U$2),"Sales Outlier",IF(OR(O398&gt;$U$6,O398&lt;$U$4),"Profit Outlier",""))</f>
        <v/>
      </c>
    </row>
    <row r="399" customFormat="false" ht="15" hidden="false" customHeight="true" outlineLevel="0" collapsed="false">
      <c r="A399" s="8" t="s">
        <v>814</v>
      </c>
      <c r="B399" s="11" t="n">
        <v>45411</v>
      </c>
      <c r="C399" s="11" t="n">
        <v>45412</v>
      </c>
      <c r="D399" s="8" t="s">
        <v>817</v>
      </c>
      <c r="E399" s="8" t="s">
        <v>2285</v>
      </c>
      <c r="F399" s="8" t="s">
        <v>154</v>
      </c>
      <c r="G399" s="8" t="s">
        <v>119</v>
      </c>
      <c r="H399" s="8" t="s">
        <v>45</v>
      </c>
      <c r="I399" s="8" t="s">
        <v>160</v>
      </c>
      <c r="J399" s="8" t="s">
        <v>29</v>
      </c>
      <c r="K399" s="8" t="n">
        <v>1</v>
      </c>
      <c r="L399" s="12" t="n">
        <v>834.89</v>
      </c>
      <c r="M399" s="13" t="n">
        <v>0.15</v>
      </c>
      <c r="N399" s="12" t="n">
        <v>709.66</v>
      </c>
      <c r="O399" s="12" t="n">
        <v>-32.37</v>
      </c>
      <c r="P399" s="8" t="str">
        <f aca="false">TEXT(B399,"mmm-yyyy")</f>
        <v>Apr-2024</v>
      </c>
      <c r="Q399" s="14" t="n">
        <f aca="false">IFERROR(O399/N399,"")</f>
        <v>-0.0456133923287208</v>
      </c>
      <c r="R399" s="8" t="str">
        <f aca="false">IF(OR(N399&gt;$U$3,N399&lt;$U$2),"Sales Outlier",IF(OR(O399&gt;$U$6,O399&lt;$U$4),"Profit Outlier",""))</f>
        <v/>
      </c>
    </row>
    <row r="400" customFormat="false" ht="15" hidden="false" customHeight="true" outlineLevel="0" collapsed="false">
      <c r="A400" s="8" t="s">
        <v>842</v>
      </c>
      <c r="B400" s="11" t="n">
        <v>45411</v>
      </c>
      <c r="C400" s="11" t="n">
        <v>45417</v>
      </c>
      <c r="D400" s="8" t="s">
        <v>2282</v>
      </c>
      <c r="E400" s="8" t="s">
        <v>24</v>
      </c>
      <c r="F400" s="8" t="s">
        <v>147</v>
      </c>
      <c r="G400" s="8" t="s">
        <v>215</v>
      </c>
      <c r="H400" s="8" t="s">
        <v>45</v>
      </c>
      <c r="I400" s="8" t="s">
        <v>160</v>
      </c>
      <c r="J400" s="8" t="s">
        <v>47</v>
      </c>
      <c r="K400" s="8" t="n">
        <v>3</v>
      </c>
      <c r="L400" s="12" t="n">
        <v>1125.24</v>
      </c>
      <c r="M400" s="13" t="n">
        <v>0.05</v>
      </c>
      <c r="N400" s="12" t="n">
        <v>3206.93</v>
      </c>
      <c r="O400" s="12" t="n">
        <v>-44.35</v>
      </c>
      <c r="P400" s="8" t="str">
        <f aca="false">TEXT(B400,"mmm-yyyy")</f>
        <v>Apr-2024</v>
      </c>
      <c r="Q400" s="14" t="n">
        <f aca="false">IFERROR(O400/N400,"")</f>
        <v>-0.0138294256500766</v>
      </c>
      <c r="R400" s="8" t="str">
        <f aca="false">IF(OR(N400&gt;$U$3,N400&lt;$U$2),"Sales Outlier",IF(OR(O400&gt;$U$6,O400&lt;$U$4),"Profit Outlier",""))</f>
        <v/>
      </c>
    </row>
    <row r="401" customFormat="false" ht="15" hidden="false" customHeight="true" outlineLevel="0" collapsed="false">
      <c r="A401" s="8" t="s">
        <v>2178</v>
      </c>
      <c r="B401" s="11" t="n">
        <v>45411</v>
      </c>
      <c r="C401" s="11" t="n">
        <v>45414</v>
      </c>
      <c r="D401" s="8" t="s">
        <v>1465</v>
      </c>
      <c r="E401" s="8" t="s">
        <v>34</v>
      </c>
      <c r="F401" s="8" t="s">
        <v>154</v>
      </c>
      <c r="G401" s="8" t="s">
        <v>102</v>
      </c>
      <c r="H401" s="8" t="s">
        <v>77</v>
      </c>
      <c r="I401" s="8" t="s">
        <v>78</v>
      </c>
      <c r="J401" s="8" t="s">
        <v>29</v>
      </c>
      <c r="K401" s="8" t="n">
        <v>1</v>
      </c>
      <c r="L401" s="12" t="n">
        <v>352.51</v>
      </c>
      <c r="M401" s="13" t="n">
        <v>0</v>
      </c>
      <c r="N401" s="12" t="n">
        <v>352.51</v>
      </c>
      <c r="O401" s="12" t="n">
        <v>110.72</v>
      </c>
      <c r="P401" s="8" t="str">
        <f aca="false">TEXT(B401,"mmm-yyyy")</f>
        <v>Apr-2024</v>
      </c>
      <c r="Q401" s="14" t="n">
        <f aca="false">IFERROR(O401/N401,"")</f>
        <v>0.31409038041474</v>
      </c>
      <c r="R401" s="8" t="str">
        <f aca="false">IF(OR(N401&gt;$U$3,N401&lt;$U$2),"Sales Outlier",IF(OR(O401&gt;$U$6,O401&lt;$U$4),"Profit Outlier",""))</f>
        <v/>
      </c>
    </row>
    <row r="402" customFormat="false" ht="15" hidden="false" customHeight="true" outlineLevel="0" collapsed="false">
      <c r="A402" s="8" t="s">
        <v>1959</v>
      </c>
      <c r="B402" s="11" t="n">
        <v>45412</v>
      </c>
      <c r="C402" s="11" t="n">
        <v>45413</v>
      </c>
      <c r="D402" s="8" t="s">
        <v>408</v>
      </c>
      <c r="E402" s="8" t="s">
        <v>34</v>
      </c>
      <c r="F402" s="8" t="s">
        <v>154</v>
      </c>
      <c r="G402" s="8" t="s">
        <v>102</v>
      </c>
      <c r="H402" s="8" t="s">
        <v>37</v>
      </c>
      <c r="I402" s="8" t="s">
        <v>527</v>
      </c>
      <c r="J402" s="8" t="s">
        <v>47</v>
      </c>
      <c r="K402" s="8" t="n">
        <v>2</v>
      </c>
      <c r="L402" s="12" t="n">
        <v>631.63</v>
      </c>
      <c r="M402" s="13" t="n">
        <v>0</v>
      </c>
      <c r="N402" s="12" t="n">
        <v>1263.26</v>
      </c>
      <c r="O402" s="12" t="n">
        <v>272.43</v>
      </c>
      <c r="P402" s="8" t="str">
        <f aca="false">TEXT(B402,"mmm-yyyy")</f>
        <v>Apr-2024</v>
      </c>
      <c r="Q402" s="14" t="n">
        <f aca="false">IFERROR(O402/N402,"")</f>
        <v>0.215656317780979</v>
      </c>
      <c r="R402" s="8" t="str">
        <f aca="false">IF(OR(N402&gt;$U$3,N402&lt;$U$2),"Sales Outlier",IF(OR(O402&gt;$U$6,O402&lt;$U$4),"Profit Outlier",""))</f>
        <v/>
      </c>
    </row>
    <row r="403" customFormat="false" ht="15" hidden="false" customHeight="true" outlineLevel="0" collapsed="false">
      <c r="A403" s="8" t="s">
        <v>601</v>
      </c>
      <c r="B403" s="11" t="n">
        <v>45413</v>
      </c>
      <c r="C403" s="11" t="n">
        <v>45420</v>
      </c>
      <c r="D403" s="8" t="s">
        <v>43</v>
      </c>
      <c r="E403" s="8" t="s">
        <v>2285</v>
      </c>
      <c r="F403" s="8" t="s">
        <v>126</v>
      </c>
      <c r="G403" s="8" t="s">
        <v>82</v>
      </c>
      <c r="H403" s="8" t="s">
        <v>114</v>
      </c>
      <c r="I403" s="8" t="s">
        <v>201</v>
      </c>
      <c r="J403" s="8" t="s">
        <v>29</v>
      </c>
      <c r="K403" s="8" t="n">
        <v>1</v>
      </c>
      <c r="L403" s="12" t="n">
        <v>176.65</v>
      </c>
      <c r="M403" s="13" t="n">
        <v>0.1</v>
      </c>
      <c r="N403" s="12" t="n">
        <v>158.99</v>
      </c>
      <c r="O403" s="12" t="n">
        <v>-15.43</v>
      </c>
      <c r="P403" s="8" t="str">
        <f aca="false">TEXT(B403,"mmm-yyyy")</f>
        <v>May-2024</v>
      </c>
      <c r="Q403" s="14" t="n">
        <f aca="false">IFERROR(O403/N403,"")</f>
        <v>-0.097050128938927</v>
      </c>
      <c r="R403" s="8" t="str">
        <f aca="false">IF(OR(N403&gt;$U$3,N403&lt;$U$2),"Sales Outlier",IF(OR(O403&gt;$U$6,O403&lt;$U$4),"Profit Outlier",""))</f>
        <v/>
      </c>
    </row>
    <row r="404" customFormat="false" ht="15" hidden="false" customHeight="true" outlineLevel="0" collapsed="false">
      <c r="A404" s="8" t="s">
        <v>991</v>
      </c>
      <c r="B404" s="11" t="n">
        <v>45414</v>
      </c>
      <c r="C404" s="11" t="n">
        <v>45417</v>
      </c>
      <c r="D404" s="8" t="s">
        <v>613</v>
      </c>
      <c r="E404" s="8" t="s">
        <v>24</v>
      </c>
      <c r="F404" s="8" t="s">
        <v>147</v>
      </c>
      <c r="G404" s="8" t="s">
        <v>215</v>
      </c>
      <c r="H404" s="8" t="s">
        <v>37</v>
      </c>
      <c r="I404" s="8" t="s">
        <v>84</v>
      </c>
      <c r="J404" s="8" t="s">
        <v>64</v>
      </c>
      <c r="K404" s="8" t="n">
        <v>2</v>
      </c>
      <c r="L404" s="12" t="n">
        <v>590.1</v>
      </c>
      <c r="M404" s="13" t="n">
        <v>0.15</v>
      </c>
      <c r="N404" s="12" t="n">
        <v>1003.17</v>
      </c>
      <c r="O404" s="12" t="n">
        <v>184.39</v>
      </c>
      <c r="P404" s="8" t="str">
        <f aca="false">TEXT(B404,"mmm-yyyy")</f>
        <v>May-2024</v>
      </c>
      <c r="Q404" s="14" t="n">
        <f aca="false">IFERROR(O404/N404,"")</f>
        <v>0.183807330761486</v>
      </c>
      <c r="R404" s="8" t="str">
        <f aca="false">IF(OR(N404&gt;$U$3,N404&lt;$U$2),"Sales Outlier",IF(OR(O404&gt;$U$6,O404&lt;$U$4),"Profit Outlier",""))</f>
        <v/>
      </c>
    </row>
    <row r="405" customFormat="false" ht="15" hidden="false" customHeight="true" outlineLevel="0" collapsed="false">
      <c r="A405" s="8" t="s">
        <v>264</v>
      </c>
      <c r="B405" s="11" t="n">
        <v>45414</v>
      </c>
      <c r="C405" s="11" t="n">
        <v>45417</v>
      </c>
      <c r="D405" s="8" t="s">
        <v>267</v>
      </c>
      <c r="E405" s="8" t="s">
        <v>24</v>
      </c>
      <c r="F405" s="8" t="s">
        <v>126</v>
      </c>
      <c r="G405" s="8" t="s">
        <v>82</v>
      </c>
      <c r="H405" s="8" t="s">
        <v>45</v>
      </c>
      <c r="I405" s="8" t="s">
        <v>46</v>
      </c>
      <c r="J405" s="8" t="s">
        <v>64</v>
      </c>
      <c r="K405" s="8" t="n">
        <v>2</v>
      </c>
      <c r="L405" s="12" t="n">
        <v>689.39</v>
      </c>
      <c r="M405" s="13" t="n">
        <v>0.05</v>
      </c>
      <c r="N405" s="12" t="n">
        <v>654.92</v>
      </c>
      <c r="O405" s="12" t="n">
        <v>214.27</v>
      </c>
      <c r="P405" s="8" t="str">
        <f aca="false">TEXT(B405,"mmm-yyyy")</f>
        <v>May-2024</v>
      </c>
      <c r="Q405" s="14" t="n">
        <f aca="false">IFERROR(O405/N405,"")</f>
        <v>0.327169730654126</v>
      </c>
      <c r="R405" s="8" t="str">
        <f aca="false">IF(OR(N405&gt;$U$3,N405&lt;$U$2),"Sales Outlier",IF(OR(O405&gt;$U$6,O405&lt;$U$4),"Profit Outlier",""))</f>
        <v/>
      </c>
    </row>
    <row r="406" customFormat="false" ht="15" hidden="false" customHeight="true" outlineLevel="0" collapsed="false">
      <c r="A406" s="8" t="s">
        <v>1130</v>
      </c>
      <c r="B406" s="11" t="n">
        <v>45417</v>
      </c>
      <c r="C406" s="11" t="n">
        <v>45601</v>
      </c>
      <c r="D406" s="8" t="s">
        <v>224</v>
      </c>
      <c r="E406" s="8" t="s">
        <v>24</v>
      </c>
      <c r="F406" s="8" t="s">
        <v>126</v>
      </c>
      <c r="G406" s="8" t="s">
        <v>26</v>
      </c>
      <c r="H406" s="8" t="s">
        <v>77</v>
      </c>
      <c r="I406" s="8" t="s">
        <v>127</v>
      </c>
      <c r="J406" s="8" t="s">
        <v>29</v>
      </c>
      <c r="K406" s="8" t="n">
        <v>1</v>
      </c>
      <c r="L406" s="12" t="n">
        <v>196.57</v>
      </c>
      <c r="M406" s="13" t="n">
        <v>0.05</v>
      </c>
      <c r="N406" s="12" t="n">
        <v>186.74</v>
      </c>
      <c r="O406" s="12" t="n">
        <v>44.44</v>
      </c>
      <c r="P406" s="8" t="str">
        <f aca="false">TEXT(B406,"mmm-yyyy")</f>
        <v>May-2024</v>
      </c>
      <c r="Q406" s="14" t="n">
        <f aca="false">IFERROR(O406/N406,"")</f>
        <v>0.237977937238942</v>
      </c>
      <c r="R406" s="8" t="str">
        <f aca="false">IF(OR(N406&gt;$U$3,N406&lt;$U$2),"Sales Outlier",IF(OR(O406&gt;$U$6,O406&lt;$U$4),"Profit Outlier",""))</f>
        <v/>
      </c>
    </row>
    <row r="407" customFormat="false" ht="15" hidden="false" customHeight="true" outlineLevel="0" collapsed="false">
      <c r="A407" s="8" t="s">
        <v>1886</v>
      </c>
      <c r="B407" s="11" t="n">
        <v>45417</v>
      </c>
      <c r="C407" s="11"/>
      <c r="D407" s="8" t="s">
        <v>1847</v>
      </c>
      <c r="E407" s="8" t="s">
        <v>34</v>
      </c>
      <c r="F407" s="8" t="s">
        <v>61</v>
      </c>
      <c r="G407" s="8" t="s">
        <v>76</v>
      </c>
      <c r="H407" s="8" t="s">
        <v>37</v>
      </c>
      <c r="I407" s="8" t="s">
        <v>84</v>
      </c>
      <c r="J407" s="8" t="s">
        <v>64</v>
      </c>
      <c r="K407" s="8" t="n">
        <v>2</v>
      </c>
      <c r="L407" s="12" t="n">
        <v>53.43</v>
      </c>
      <c r="M407" s="13" t="n">
        <v>0</v>
      </c>
      <c r="N407" s="12" t="n">
        <v>53.43</v>
      </c>
      <c r="O407" s="12" t="n">
        <v>12.55</v>
      </c>
      <c r="P407" s="8" t="str">
        <f aca="false">TEXT(B407,"mmm-yyyy")</f>
        <v>May-2024</v>
      </c>
      <c r="Q407" s="14" t="n">
        <f aca="false">IFERROR(O407/N407,"")</f>
        <v>0.234886767733483</v>
      </c>
      <c r="R407" s="8" t="str">
        <f aca="false">IF(OR(N407&gt;$U$3,N407&lt;$U$2),"Sales Outlier",IF(OR(O407&gt;$U$6,O407&lt;$U$4),"Profit Outlier",""))</f>
        <v/>
      </c>
    </row>
    <row r="408" customFormat="false" ht="15" hidden="false" customHeight="true" outlineLevel="0" collapsed="false">
      <c r="A408" s="8" t="s">
        <v>1648</v>
      </c>
      <c r="B408" s="11" t="n">
        <v>45417</v>
      </c>
      <c r="C408" s="11" t="n">
        <v>45422</v>
      </c>
      <c r="D408" s="8" t="s">
        <v>1651</v>
      </c>
      <c r="E408" s="8" t="s">
        <v>52</v>
      </c>
      <c r="F408" s="8" t="s">
        <v>154</v>
      </c>
      <c r="G408" s="8" t="s">
        <v>182</v>
      </c>
      <c r="H408" s="8" t="s">
        <v>77</v>
      </c>
      <c r="I408" s="8" t="s">
        <v>425</v>
      </c>
      <c r="J408" s="8" t="s">
        <v>47</v>
      </c>
      <c r="K408" s="8" t="n">
        <v>1</v>
      </c>
      <c r="L408" s="12" t="n">
        <v>541.63</v>
      </c>
      <c r="M408" s="13" t="n">
        <v>0.2</v>
      </c>
      <c r="N408" s="12" t="n">
        <v>433.3</v>
      </c>
      <c r="O408" s="12" t="n">
        <v>131.28</v>
      </c>
      <c r="P408" s="8" t="str">
        <f aca="false">TEXT(B408,"mmm-yyyy")</f>
        <v>May-2024</v>
      </c>
      <c r="Q408" s="14" t="n">
        <f aca="false">IFERROR(O408/N408,"")</f>
        <v>0.302977152088622</v>
      </c>
      <c r="R408" s="8" t="str">
        <f aca="false">IF(OR(N408&gt;$U$3,N408&lt;$U$2),"Sales Outlier",IF(OR(O408&gt;$U$6,O408&lt;$U$4),"Profit Outlier",""))</f>
        <v/>
      </c>
    </row>
    <row r="409" customFormat="false" ht="15" hidden="false" customHeight="true" outlineLevel="0" collapsed="false">
      <c r="A409" s="8" t="s">
        <v>1414</v>
      </c>
      <c r="B409" s="11" t="n">
        <v>45419</v>
      </c>
      <c r="C409" s="11" t="n">
        <v>45542</v>
      </c>
      <c r="D409" s="8" t="s">
        <v>1061</v>
      </c>
      <c r="E409" s="8" t="s">
        <v>24</v>
      </c>
      <c r="F409" s="8" t="s">
        <v>61</v>
      </c>
      <c r="G409" s="8" t="s">
        <v>36</v>
      </c>
      <c r="H409" s="8" t="s">
        <v>45</v>
      </c>
      <c r="I409" s="8" t="s">
        <v>160</v>
      </c>
      <c r="J409" s="8" t="s">
        <v>29</v>
      </c>
      <c r="K409" s="8" t="n">
        <v>2</v>
      </c>
      <c r="L409" s="12" t="n">
        <v>1038.99</v>
      </c>
      <c r="M409" s="13" t="n">
        <v>0.15</v>
      </c>
      <c r="N409" s="12" t="n">
        <v>883.14</v>
      </c>
      <c r="O409" s="12" t="n">
        <v>6.59</v>
      </c>
      <c r="P409" s="8" t="str">
        <f aca="false">TEXT(B409,"mmm-yyyy")</f>
        <v>May-2024</v>
      </c>
      <c r="Q409" s="14" t="n">
        <f aca="false">IFERROR(O409/N409,"")</f>
        <v>0.00746201055325316</v>
      </c>
      <c r="R409" s="8" t="str">
        <f aca="false">IF(OR(N409&gt;$U$3,N409&lt;$U$2),"Sales Outlier",IF(OR(O409&gt;$U$6,O409&lt;$U$4),"Profit Outlier",""))</f>
        <v/>
      </c>
    </row>
    <row r="410" customFormat="false" ht="15" hidden="false" customHeight="true" outlineLevel="0" collapsed="false">
      <c r="A410" s="8" t="s">
        <v>2029</v>
      </c>
      <c r="B410" s="11" t="n">
        <v>45419</v>
      </c>
      <c r="C410" s="11" t="n">
        <v>45480</v>
      </c>
      <c r="D410" s="8" t="s">
        <v>164</v>
      </c>
      <c r="E410" s="8" t="s">
        <v>34</v>
      </c>
      <c r="F410" s="8" t="s">
        <v>154</v>
      </c>
      <c r="G410" s="8" t="s">
        <v>119</v>
      </c>
      <c r="H410" s="8" t="s">
        <v>77</v>
      </c>
      <c r="I410" s="8" t="s">
        <v>121</v>
      </c>
      <c r="J410" s="8" t="s">
        <v>64</v>
      </c>
      <c r="K410" s="8" t="n">
        <v>2</v>
      </c>
      <c r="L410" s="12" t="n">
        <v>525.77</v>
      </c>
      <c r="M410" s="13" t="n">
        <v>0</v>
      </c>
      <c r="N410" s="12" t="n">
        <v>1051.54</v>
      </c>
      <c r="O410" s="12" t="n">
        <v>321.86</v>
      </c>
      <c r="P410" s="8" t="str">
        <f aca="false">TEXT(B410,"mmm-yyyy")</f>
        <v>May-2024</v>
      </c>
      <c r="Q410" s="14" t="n">
        <f aca="false">IFERROR(O410/N410,"")</f>
        <v>0.306084409532685</v>
      </c>
      <c r="R410" s="8" t="str">
        <f aca="false">IF(OR(N410&gt;$U$3,N410&lt;$U$2),"Sales Outlier",IF(OR(O410&gt;$U$6,O410&lt;$U$4),"Profit Outlier",""))</f>
        <v/>
      </c>
    </row>
    <row r="411" customFormat="false" ht="15" hidden="false" customHeight="true" outlineLevel="0" collapsed="false">
      <c r="A411" s="8" t="s">
        <v>833</v>
      </c>
      <c r="B411" s="11" t="n">
        <v>45420</v>
      </c>
      <c r="C411" s="11" t="n">
        <v>45426</v>
      </c>
      <c r="D411" s="8" t="s">
        <v>577</v>
      </c>
      <c r="E411" s="8" t="s">
        <v>34</v>
      </c>
      <c r="F411" s="8" t="s">
        <v>61</v>
      </c>
      <c r="G411" s="8" t="s">
        <v>36</v>
      </c>
      <c r="H411" s="8" t="s">
        <v>132</v>
      </c>
      <c r="I411" s="8" t="s">
        <v>220</v>
      </c>
      <c r="J411" s="8" t="s">
        <v>64</v>
      </c>
      <c r="K411" s="8" t="n">
        <v>1</v>
      </c>
      <c r="L411" s="12" t="n">
        <v>987.22</v>
      </c>
      <c r="M411" s="13" t="n">
        <v>0.2</v>
      </c>
      <c r="N411" s="12" t="n">
        <v>789.78</v>
      </c>
      <c r="O411" s="12" t="n">
        <v>-6.1</v>
      </c>
      <c r="P411" s="8" t="str">
        <f aca="false">TEXT(B411,"mmm-yyyy")</f>
        <v>May-2024</v>
      </c>
      <c r="Q411" s="14" t="n">
        <f aca="false">IFERROR(O411/N411,"")</f>
        <v>-0.00772366988275216</v>
      </c>
      <c r="R411" s="8" t="str">
        <f aca="false">IF(OR(N411&gt;$U$3,N411&lt;$U$2),"Sales Outlier",IF(OR(O411&gt;$U$6,O411&lt;$U$4),"Profit Outlier",""))</f>
        <v/>
      </c>
    </row>
    <row r="412" customFormat="false" ht="15" hidden="false" customHeight="true" outlineLevel="0" collapsed="false">
      <c r="A412" s="8" t="s">
        <v>612</v>
      </c>
      <c r="B412" s="11" t="n">
        <v>45420</v>
      </c>
      <c r="C412" s="11" t="n">
        <v>45421</v>
      </c>
      <c r="D412" s="8" t="s">
        <v>613</v>
      </c>
      <c r="E412" s="8" t="s">
        <v>24</v>
      </c>
      <c r="F412" s="8" t="s">
        <v>126</v>
      </c>
      <c r="G412" s="8" t="s">
        <v>89</v>
      </c>
      <c r="H412" s="8" t="s">
        <v>45</v>
      </c>
      <c r="I412" s="8" t="s">
        <v>160</v>
      </c>
      <c r="J412" s="8" t="s">
        <v>64</v>
      </c>
      <c r="K412" s="8" t="n">
        <v>5</v>
      </c>
      <c r="L412" s="12" t="n">
        <v>913.59</v>
      </c>
      <c r="M412" s="13" t="n">
        <v>0</v>
      </c>
      <c r="N412" s="12" t="n">
        <v>4567.95</v>
      </c>
      <c r="O412" s="12" t="n">
        <v>993.15</v>
      </c>
      <c r="P412" s="8" t="str">
        <f aca="false">TEXT(B412,"mmm-yyyy")</f>
        <v>May-2024</v>
      </c>
      <c r="Q412" s="14" t="n">
        <f aca="false">IFERROR(O412/N412,"")</f>
        <v>0.217417003250911</v>
      </c>
      <c r="R412" s="8" t="str">
        <f aca="false">IF(OR(N412&gt;$U$3,N412&lt;$U$2),"Sales Outlier",IF(OR(O412&gt;$U$6,O412&lt;$U$4),"Profit Outlier",""))</f>
        <v/>
      </c>
    </row>
    <row r="413" customFormat="false" ht="15" hidden="false" customHeight="true" outlineLevel="0" collapsed="false">
      <c r="A413" s="8" t="s">
        <v>441</v>
      </c>
      <c r="B413" s="11" t="n">
        <v>45421</v>
      </c>
      <c r="C413" s="11" t="n">
        <v>45427</v>
      </c>
      <c r="D413" s="8" t="s">
        <v>2282</v>
      </c>
      <c r="E413" s="8" t="s">
        <v>24</v>
      </c>
      <c r="F413" s="8" t="s">
        <v>147</v>
      </c>
      <c r="G413" s="8" t="s">
        <v>326</v>
      </c>
      <c r="H413" s="8" t="s">
        <v>45</v>
      </c>
      <c r="I413" s="8" t="s">
        <v>28</v>
      </c>
      <c r="J413" s="8" t="s">
        <v>47</v>
      </c>
      <c r="K413" s="8" t="n">
        <v>4</v>
      </c>
      <c r="L413" s="12" t="n">
        <v>714.87</v>
      </c>
      <c r="M413" s="13" t="n">
        <v>0.2</v>
      </c>
      <c r="N413" s="12" t="n">
        <v>2287.58</v>
      </c>
      <c r="O413" s="12" t="n">
        <v>687.16</v>
      </c>
      <c r="P413" s="8" t="str">
        <f aca="false">TEXT(B413,"mmm-yyyy")</f>
        <v>May-2024</v>
      </c>
      <c r="Q413" s="14" t="n">
        <f aca="false">IFERROR(O413/N413,"")</f>
        <v>0.300387308859144</v>
      </c>
      <c r="R413" s="8" t="str">
        <f aca="false">IF(OR(N413&gt;$U$3,N413&lt;$U$2),"Sales Outlier",IF(OR(O413&gt;$U$6,O413&lt;$U$4),"Profit Outlier",""))</f>
        <v/>
      </c>
    </row>
    <row r="414" customFormat="false" ht="15" hidden="false" customHeight="true" outlineLevel="0" collapsed="false">
      <c r="A414" s="8" t="s">
        <v>444</v>
      </c>
      <c r="B414" s="11" t="n">
        <v>45421</v>
      </c>
      <c r="C414" s="11" t="n">
        <v>45428</v>
      </c>
      <c r="D414" s="8" t="s">
        <v>292</v>
      </c>
      <c r="E414" s="8" t="s">
        <v>52</v>
      </c>
      <c r="F414" s="8" t="s">
        <v>61</v>
      </c>
      <c r="G414" s="8" t="s">
        <v>36</v>
      </c>
      <c r="H414" s="8" t="s">
        <v>37</v>
      </c>
      <c r="I414" s="8" t="s">
        <v>84</v>
      </c>
      <c r="J414" s="8" t="s">
        <v>64</v>
      </c>
      <c r="K414" s="8" t="n">
        <v>4</v>
      </c>
      <c r="L414" s="12" t="n">
        <v>407.93</v>
      </c>
      <c r="M414" s="13" t="n">
        <v>0</v>
      </c>
      <c r="N414" s="12" t="n">
        <v>1631.72</v>
      </c>
      <c r="O414" s="12" t="n">
        <v>123.7</v>
      </c>
      <c r="P414" s="8" t="str">
        <f aca="false">TEXT(B414,"mmm-yyyy")</f>
        <v>May-2024</v>
      </c>
      <c r="Q414" s="14" t="n">
        <f aca="false">IFERROR(O414/N414,"")</f>
        <v>0.0758095751722109</v>
      </c>
      <c r="R414" s="8" t="str">
        <f aca="false">IF(OR(N414&gt;$U$3,N414&lt;$U$2),"Sales Outlier",IF(OR(O414&gt;$U$6,O414&lt;$U$4),"Profit Outlier",""))</f>
        <v/>
      </c>
    </row>
    <row r="415" customFormat="false" ht="15" hidden="false" customHeight="true" outlineLevel="0" collapsed="false">
      <c r="A415" s="8" t="s">
        <v>90</v>
      </c>
      <c r="B415" s="11" t="n">
        <v>45421</v>
      </c>
      <c r="C415" s="11" t="n">
        <v>45426</v>
      </c>
      <c r="D415" s="8" t="s">
        <v>93</v>
      </c>
      <c r="E415" s="8" t="s">
        <v>52</v>
      </c>
      <c r="F415" s="8" t="s">
        <v>147</v>
      </c>
      <c r="G415" s="8" t="s">
        <v>54</v>
      </c>
      <c r="H415" s="8" t="s">
        <v>114</v>
      </c>
      <c r="I415" s="8" t="s">
        <v>96</v>
      </c>
      <c r="J415" s="8" t="s">
        <v>39</v>
      </c>
      <c r="K415" s="8" t="n">
        <v>2</v>
      </c>
      <c r="L415" s="12" t="n">
        <v>609.66</v>
      </c>
      <c r="M415" s="13" t="n">
        <v>0</v>
      </c>
      <c r="N415" s="12" t="n">
        <v>609.66</v>
      </c>
      <c r="O415" s="12" t="n">
        <v>150.14</v>
      </c>
      <c r="P415" s="8" t="str">
        <f aca="false">TEXT(B415,"mmm-yyyy")</f>
        <v>May-2024</v>
      </c>
      <c r="Q415" s="14" t="n">
        <f aca="false">IFERROR(O415/N415,"")</f>
        <v>0.246268411901716</v>
      </c>
      <c r="R415" s="8" t="str">
        <f aca="false">IF(OR(N415&gt;$U$3,N415&lt;$U$2),"Sales Outlier",IF(OR(O415&gt;$U$6,O415&lt;$U$4),"Profit Outlier",""))</f>
        <v/>
      </c>
    </row>
    <row r="416" customFormat="false" ht="15" hidden="false" customHeight="true" outlineLevel="0" collapsed="false">
      <c r="A416" s="8" t="s">
        <v>1118</v>
      </c>
      <c r="B416" s="11" t="n">
        <v>45423</v>
      </c>
      <c r="C416" s="11" t="n">
        <v>45428</v>
      </c>
      <c r="D416" s="8" t="s">
        <v>1120</v>
      </c>
      <c r="E416" s="8" t="s">
        <v>52</v>
      </c>
      <c r="F416" s="8" t="s">
        <v>147</v>
      </c>
      <c r="G416" s="8" t="s">
        <v>215</v>
      </c>
      <c r="H416" s="8" t="s">
        <v>132</v>
      </c>
      <c r="I416" s="8" t="s">
        <v>63</v>
      </c>
      <c r="J416" s="8" t="s">
        <v>64</v>
      </c>
      <c r="K416" s="8" t="n">
        <v>2</v>
      </c>
      <c r="L416" s="12" t="n">
        <v>193.86</v>
      </c>
      <c r="M416" s="13" t="n">
        <v>0</v>
      </c>
      <c r="N416" s="12" t="n">
        <v>387.72</v>
      </c>
      <c r="O416" s="12" t="n">
        <v>-4.1</v>
      </c>
      <c r="P416" s="8" t="str">
        <f aca="false">TEXT(B416,"mmm-yyyy")</f>
        <v>May-2024</v>
      </c>
      <c r="Q416" s="14" t="n">
        <f aca="false">IFERROR(O416/N416,"")</f>
        <v>-0.0105746414938615</v>
      </c>
      <c r="R416" s="8" t="str">
        <f aca="false">IF(OR(N416&gt;$U$3,N416&lt;$U$2),"Sales Outlier",IF(OR(O416&gt;$U$6,O416&lt;$U$4),"Profit Outlier",""))</f>
        <v/>
      </c>
    </row>
    <row r="417" customFormat="false" ht="15" hidden="false" customHeight="true" outlineLevel="0" collapsed="false">
      <c r="A417" s="8" t="s">
        <v>1778</v>
      </c>
      <c r="B417" s="11" t="n">
        <v>45424</v>
      </c>
      <c r="C417" s="11" t="n">
        <v>45429</v>
      </c>
      <c r="D417" s="8" t="s">
        <v>1780</v>
      </c>
      <c r="E417" s="8" t="s">
        <v>2285</v>
      </c>
      <c r="F417" s="8" t="s">
        <v>61</v>
      </c>
      <c r="G417" s="8" t="s">
        <v>76</v>
      </c>
      <c r="H417" s="8" t="s">
        <v>45</v>
      </c>
      <c r="I417" s="8" t="s">
        <v>149</v>
      </c>
      <c r="J417" s="8" t="s">
        <v>47</v>
      </c>
      <c r="K417" s="8" t="n">
        <v>5</v>
      </c>
      <c r="L417" s="12" t="n">
        <v>320.64</v>
      </c>
      <c r="M417" s="13" t="n">
        <v>0</v>
      </c>
      <c r="N417" s="12" t="n">
        <v>1603.2</v>
      </c>
      <c r="O417" s="12" t="n">
        <v>125.22</v>
      </c>
      <c r="P417" s="8" t="str">
        <f aca="false">TEXT(B417,"mmm-yyyy")</f>
        <v>May-2024</v>
      </c>
      <c r="Q417" s="14" t="n">
        <f aca="false">IFERROR(O417/N417,"")</f>
        <v>0.0781062874251497</v>
      </c>
      <c r="R417" s="8" t="str">
        <f aca="false">IF(OR(N417&gt;$U$3,N417&lt;$U$2),"Sales Outlier",IF(OR(O417&gt;$U$6,O417&lt;$U$4),"Profit Outlier",""))</f>
        <v/>
      </c>
    </row>
    <row r="418" customFormat="false" ht="15" hidden="false" customHeight="true" outlineLevel="0" collapsed="false">
      <c r="A418" s="8" t="s">
        <v>377</v>
      </c>
      <c r="B418" s="11" t="n">
        <v>45425</v>
      </c>
      <c r="C418" s="11" t="n">
        <v>45429</v>
      </c>
      <c r="D418" s="8" t="s">
        <v>380</v>
      </c>
      <c r="E418" s="8" t="s">
        <v>2285</v>
      </c>
      <c r="F418" s="8" t="s">
        <v>154</v>
      </c>
      <c r="G418" s="8" t="s">
        <v>119</v>
      </c>
      <c r="H418" s="8" t="s">
        <v>114</v>
      </c>
      <c r="I418" s="8" t="s">
        <v>96</v>
      </c>
      <c r="J418" s="8" t="s">
        <v>39</v>
      </c>
      <c r="K418" s="8" t="n">
        <v>2</v>
      </c>
      <c r="L418" s="12" t="n">
        <v>1084.88</v>
      </c>
      <c r="M418" s="13" t="n">
        <v>0.1</v>
      </c>
      <c r="N418" s="12" t="n">
        <v>1952.78</v>
      </c>
      <c r="O418" s="12" t="n">
        <v>20.34</v>
      </c>
      <c r="P418" s="8" t="str">
        <f aca="false">TEXT(B418,"mmm-yyyy")</f>
        <v>May-2024</v>
      </c>
      <c r="Q418" s="14" t="n">
        <f aca="false">IFERROR(O418/N418,"")</f>
        <v>0.0104159198680855</v>
      </c>
      <c r="R418" s="8" t="str">
        <f aca="false">IF(OR(N418&gt;$U$3,N418&lt;$U$2),"Sales Outlier",IF(OR(O418&gt;$U$6,O418&lt;$U$4),"Profit Outlier",""))</f>
        <v/>
      </c>
    </row>
    <row r="419" customFormat="false" ht="15" hidden="false" customHeight="true" outlineLevel="0" collapsed="false">
      <c r="A419" s="8" t="s">
        <v>298</v>
      </c>
      <c r="B419" s="11" t="n">
        <v>45426</v>
      </c>
      <c r="C419" s="11" t="n">
        <v>45427</v>
      </c>
      <c r="D419" s="8" t="s">
        <v>301</v>
      </c>
      <c r="E419" s="8" t="s">
        <v>34</v>
      </c>
      <c r="F419" s="8" t="s">
        <v>126</v>
      </c>
      <c r="G419" s="8" t="s">
        <v>26</v>
      </c>
      <c r="H419" s="8" t="s">
        <v>114</v>
      </c>
      <c r="I419" s="8" t="s">
        <v>115</v>
      </c>
      <c r="J419" s="8" t="s">
        <v>39</v>
      </c>
      <c r="K419" s="8" t="n">
        <v>1</v>
      </c>
      <c r="L419" s="12" t="n">
        <v>1122.82</v>
      </c>
      <c r="M419" s="13" t="n">
        <v>0.2</v>
      </c>
      <c r="N419" s="12" t="n">
        <v>898.26</v>
      </c>
      <c r="O419" s="12" t="n">
        <v>270.01</v>
      </c>
      <c r="P419" s="8" t="str">
        <f aca="false">TEXT(B419,"mmm-yyyy")</f>
        <v>May-2024</v>
      </c>
      <c r="Q419" s="14" t="n">
        <f aca="false">IFERROR(O419/N419,"")</f>
        <v>0.300592256139648</v>
      </c>
      <c r="R419" s="8" t="str">
        <f aca="false">IF(OR(N419&gt;$U$3,N419&lt;$U$2),"Sales Outlier",IF(OR(O419&gt;$U$6,O419&lt;$U$4),"Profit Outlier",""))</f>
        <v/>
      </c>
    </row>
    <row r="420" customFormat="false" ht="15" hidden="false" customHeight="true" outlineLevel="0" collapsed="false">
      <c r="A420" s="8" t="s">
        <v>2115</v>
      </c>
      <c r="B420" s="11" t="n">
        <v>45427</v>
      </c>
      <c r="C420" s="11" t="n">
        <v>45430</v>
      </c>
      <c r="D420" s="8" t="s">
        <v>1616</v>
      </c>
      <c r="E420" s="8" t="s">
        <v>52</v>
      </c>
      <c r="F420" s="8" t="s">
        <v>126</v>
      </c>
      <c r="G420" s="8" t="s">
        <v>26</v>
      </c>
      <c r="H420" s="8" t="s">
        <v>37</v>
      </c>
      <c r="I420" s="8" t="s">
        <v>404</v>
      </c>
      <c r="J420" s="8" t="s">
        <v>29</v>
      </c>
      <c r="K420" s="8" t="n">
        <v>4</v>
      </c>
      <c r="L420" s="12" t="n">
        <v>602.14</v>
      </c>
      <c r="M420" s="13" t="n">
        <v>0</v>
      </c>
      <c r="N420" s="12" t="n">
        <v>2408.56</v>
      </c>
      <c r="O420" s="12" t="n">
        <v>263.08</v>
      </c>
      <c r="P420" s="8" t="str">
        <f aca="false">TEXT(B420,"mmm-yyyy")</f>
        <v>May-2024</v>
      </c>
      <c r="Q420" s="14" t="n">
        <f aca="false">IFERROR(O420/N420,"")</f>
        <v>0.109227090045504</v>
      </c>
      <c r="R420" s="8" t="str">
        <f aca="false">IF(OR(N420&gt;$U$3,N420&lt;$U$2),"Sales Outlier",IF(OR(O420&gt;$U$6,O420&lt;$U$4),"Profit Outlier",""))</f>
        <v/>
      </c>
    </row>
    <row r="421" customFormat="false" ht="15" hidden="false" customHeight="true" outlineLevel="0" collapsed="false">
      <c r="A421" s="8" t="s">
        <v>1146</v>
      </c>
      <c r="B421" s="11" t="n">
        <v>45428</v>
      </c>
      <c r="C421" s="11" t="n">
        <v>45429</v>
      </c>
      <c r="D421" s="8" t="s">
        <v>1148</v>
      </c>
      <c r="E421" s="8" t="s">
        <v>52</v>
      </c>
      <c r="F421" s="8" t="s">
        <v>147</v>
      </c>
      <c r="G421" s="8" t="s">
        <v>326</v>
      </c>
      <c r="H421" s="8" t="s">
        <v>45</v>
      </c>
      <c r="I421" s="8" t="s">
        <v>149</v>
      </c>
      <c r="J421" s="8" t="s">
        <v>47</v>
      </c>
      <c r="K421" s="8" t="n">
        <v>1</v>
      </c>
      <c r="L421" s="12" t="n">
        <v>1020.24</v>
      </c>
      <c r="M421" s="13" t="n">
        <v>0</v>
      </c>
      <c r="N421" s="12" t="n">
        <v>1020.24</v>
      </c>
      <c r="O421" s="12" t="n">
        <v>269.03</v>
      </c>
      <c r="P421" s="8" t="str">
        <f aca="false">TEXT(B421,"mmm-yyyy")</f>
        <v>May-2024</v>
      </c>
      <c r="Q421" s="14" t="n">
        <f aca="false">IFERROR(O421/N421,"")</f>
        <v>0.263692856582765</v>
      </c>
      <c r="R421" s="8" t="str">
        <f aca="false">IF(OR(N421&gt;$U$3,N421&lt;$U$2),"Sales Outlier",IF(OR(O421&gt;$U$6,O421&lt;$U$4),"Profit Outlier",""))</f>
        <v/>
      </c>
    </row>
    <row r="422" customFormat="false" ht="15" hidden="false" customHeight="true" outlineLevel="0" collapsed="false">
      <c r="A422" s="8" t="s">
        <v>1611</v>
      </c>
      <c r="B422" s="11" t="n">
        <v>45429</v>
      </c>
      <c r="C422" s="11" t="n">
        <v>45431</v>
      </c>
      <c r="D422" s="8" t="s">
        <v>2302</v>
      </c>
      <c r="E422" s="8" t="s">
        <v>2285</v>
      </c>
      <c r="F422" s="8" t="s">
        <v>61</v>
      </c>
      <c r="G422" s="8" t="s">
        <v>36</v>
      </c>
      <c r="H422" s="8" t="s">
        <v>114</v>
      </c>
      <c r="I422" s="8" t="s">
        <v>115</v>
      </c>
      <c r="J422" s="8" t="s">
        <v>29</v>
      </c>
      <c r="K422" s="8" t="n">
        <v>2</v>
      </c>
      <c r="L422" s="12" t="n">
        <v>291.14</v>
      </c>
      <c r="M422" s="13" t="n">
        <v>0</v>
      </c>
      <c r="N422" s="12" t="n">
        <v>582.28</v>
      </c>
      <c r="O422" s="12" t="n">
        <v>127.19</v>
      </c>
      <c r="P422" s="8" t="str">
        <f aca="false">TEXT(B422,"mmm-yyyy")</f>
        <v>May-2024</v>
      </c>
      <c r="Q422" s="14" t="n">
        <f aca="false">IFERROR(O422/N422,"")</f>
        <v>0.218434430171052</v>
      </c>
      <c r="R422" s="8" t="str">
        <f aca="false">IF(OR(N422&gt;$U$3,N422&lt;$U$2),"Sales Outlier",IF(OR(O422&gt;$U$6,O422&lt;$U$4),"Profit Outlier",""))</f>
        <v/>
      </c>
    </row>
    <row r="423" customFormat="false" ht="15" hidden="false" customHeight="true" outlineLevel="0" collapsed="false">
      <c r="A423" s="8" t="s">
        <v>1366</v>
      </c>
      <c r="B423" s="11" t="n">
        <v>45429</v>
      </c>
      <c r="C423" s="11" t="n">
        <v>45431</v>
      </c>
      <c r="D423" s="8" t="s">
        <v>1550</v>
      </c>
      <c r="E423" s="8" t="s">
        <v>2285</v>
      </c>
      <c r="F423" s="8" t="s">
        <v>154</v>
      </c>
      <c r="G423" s="8" t="s">
        <v>119</v>
      </c>
      <c r="H423" s="8" t="s">
        <v>132</v>
      </c>
      <c r="I423" s="8" t="s">
        <v>133</v>
      </c>
      <c r="J423" s="8" t="s">
        <v>64</v>
      </c>
      <c r="K423" s="8" t="n">
        <v>5</v>
      </c>
      <c r="L423" s="12" t="n">
        <v>688.26</v>
      </c>
      <c r="M423" s="13" t="n">
        <v>0</v>
      </c>
      <c r="N423" s="12" t="n">
        <v>3441.3</v>
      </c>
      <c r="O423" s="12" t="n">
        <v>-193.94</v>
      </c>
      <c r="P423" s="8" t="str">
        <f aca="false">TEXT(B423,"mmm-yyyy")</f>
        <v>May-2024</v>
      </c>
      <c r="Q423" s="14" t="n">
        <f aca="false">IFERROR(O423/N423,"")</f>
        <v>-0.0563566094208584</v>
      </c>
      <c r="R423" s="8" t="str">
        <f aca="false">IF(OR(N423&gt;$U$3,N423&lt;$U$2),"Sales Outlier",IF(OR(O423&gt;$U$6,O423&lt;$U$4),"Profit Outlier",""))</f>
        <v/>
      </c>
    </row>
    <row r="424" customFormat="false" ht="15" hidden="false" customHeight="true" outlineLevel="0" collapsed="false">
      <c r="A424" s="8" t="s">
        <v>899</v>
      </c>
      <c r="B424" s="11" t="n">
        <v>45433</v>
      </c>
      <c r="C424" s="11" t="n">
        <v>45437</v>
      </c>
      <c r="D424" s="8" t="s">
        <v>902</v>
      </c>
      <c r="E424" s="8" t="s">
        <v>2285</v>
      </c>
      <c r="F424" s="8" t="s">
        <v>126</v>
      </c>
      <c r="G424" s="8" t="s">
        <v>82</v>
      </c>
      <c r="H424" s="8" t="s">
        <v>132</v>
      </c>
      <c r="I424" s="8" t="s">
        <v>133</v>
      </c>
      <c r="J424" s="8" t="s">
        <v>29</v>
      </c>
      <c r="K424" s="8" t="n">
        <v>2</v>
      </c>
      <c r="L424" s="12" t="n">
        <v>975.33</v>
      </c>
      <c r="M424" s="13" t="n">
        <v>0.1</v>
      </c>
      <c r="N424" s="12" t="n">
        <v>1755.59</v>
      </c>
      <c r="O424" s="12" t="n">
        <v>34.35</v>
      </c>
      <c r="P424" s="8" t="str">
        <f aca="false">TEXT(B424,"mmm-yyyy")</f>
        <v>May-2024</v>
      </c>
      <c r="Q424" s="14" t="n">
        <f aca="false">IFERROR(O424/N424,"")</f>
        <v>0.0195660718049203</v>
      </c>
      <c r="R424" s="8" t="str">
        <f aca="false">IF(OR(N424&gt;$U$3,N424&lt;$U$2),"Sales Outlier",IF(OR(O424&gt;$U$6,O424&lt;$U$4),"Profit Outlier",""))</f>
        <v/>
      </c>
    </row>
    <row r="425" customFormat="false" ht="15" hidden="false" customHeight="true" outlineLevel="0" collapsed="false">
      <c r="A425" s="8" t="s">
        <v>2150</v>
      </c>
      <c r="B425" s="11" t="n">
        <v>45434</v>
      </c>
      <c r="C425" s="11" t="n">
        <v>45435</v>
      </c>
      <c r="D425" s="8" t="s">
        <v>1420</v>
      </c>
      <c r="E425" s="8" t="s">
        <v>24</v>
      </c>
      <c r="F425" s="8" t="s">
        <v>61</v>
      </c>
      <c r="G425" s="8" t="s">
        <v>36</v>
      </c>
      <c r="H425" s="8" t="s">
        <v>132</v>
      </c>
      <c r="I425" s="8" t="s">
        <v>133</v>
      </c>
      <c r="J425" s="8" t="s">
        <v>29</v>
      </c>
      <c r="K425" s="8" t="n">
        <v>3</v>
      </c>
      <c r="L425" s="12" t="n">
        <v>1026.22</v>
      </c>
      <c r="M425" s="13" t="n">
        <v>0.15</v>
      </c>
      <c r="N425" s="12" t="n">
        <v>2616.86</v>
      </c>
      <c r="O425" s="12" t="n">
        <v>245.95</v>
      </c>
      <c r="P425" s="8" t="str">
        <f aca="false">TEXT(B425,"mmm-yyyy")</f>
        <v>May-2024</v>
      </c>
      <c r="Q425" s="14" t="n">
        <f aca="false">IFERROR(O425/N425,"")</f>
        <v>0.0939866863340033</v>
      </c>
      <c r="R425" s="8" t="str">
        <f aca="false">IF(OR(N425&gt;$U$3,N425&lt;$U$2),"Sales Outlier",IF(OR(O425&gt;$U$6,O425&lt;$U$4),"Profit Outlier",""))</f>
        <v/>
      </c>
    </row>
    <row r="426" customFormat="false" ht="15" hidden="false" customHeight="true" outlineLevel="0" collapsed="false">
      <c r="A426" s="8" t="s">
        <v>1577</v>
      </c>
      <c r="B426" s="11" t="n">
        <v>45435</v>
      </c>
      <c r="C426" s="11" t="n">
        <v>45438</v>
      </c>
      <c r="D426" s="8" t="s">
        <v>1578</v>
      </c>
      <c r="E426" s="8" t="s">
        <v>52</v>
      </c>
      <c r="F426" s="8" t="s">
        <v>147</v>
      </c>
      <c r="G426" s="8" t="s">
        <v>326</v>
      </c>
      <c r="H426" s="8" t="s">
        <v>132</v>
      </c>
      <c r="I426" s="8" t="s">
        <v>241</v>
      </c>
      <c r="J426" s="8" t="s">
        <v>64</v>
      </c>
      <c r="K426" s="8" t="n">
        <v>2</v>
      </c>
      <c r="L426" s="12" t="n">
        <v>843.29</v>
      </c>
      <c r="M426" s="13" t="n">
        <v>0.05</v>
      </c>
      <c r="N426" s="12" t="n">
        <v>1602.25</v>
      </c>
      <c r="O426" s="12" t="n">
        <v>478.89</v>
      </c>
      <c r="P426" s="8" t="str">
        <f aca="false">TEXT(B426,"mmm-yyyy")</f>
        <v>May-2024</v>
      </c>
      <c r="Q426" s="14" t="n">
        <f aca="false">IFERROR(O426/N426,"")</f>
        <v>0.298885941644562</v>
      </c>
      <c r="R426" s="8" t="str">
        <f aca="false">IF(OR(N426&gt;$U$3,N426&lt;$U$2),"Sales Outlier",IF(OR(O426&gt;$U$6,O426&lt;$U$4),"Profit Outlier",""))</f>
        <v/>
      </c>
    </row>
    <row r="427" customFormat="false" ht="15" hidden="false" customHeight="true" outlineLevel="0" collapsed="false">
      <c r="A427" s="8" t="s">
        <v>1245</v>
      </c>
      <c r="B427" s="11" t="n">
        <v>45435</v>
      </c>
      <c r="C427" s="11" t="n">
        <v>45437</v>
      </c>
      <c r="D427" s="8" t="s">
        <v>1248</v>
      </c>
      <c r="E427" s="8" t="s">
        <v>34</v>
      </c>
      <c r="F427" s="8" t="s">
        <v>154</v>
      </c>
      <c r="G427" s="8" t="s">
        <v>182</v>
      </c>
      <c r="H427" s="8" t="s">
        <v>45</v>
      </c>
      <c r="I427" s="8" t="s">
        <v>149</v>
      </c>
      <c r="J427" s="8" t="s">
        <v>39</v>
      </c>
      <c r="K427" s="8" t="n">
        <v>2</v>
      </c>
      <c r="L427" s="12" t="n">
        <v>769.38</v>
      </c>
      <c r="M427" s="13" t="n">
        <v>0</v>
      </c>
      <c r="N427" s="12" t="n">
        <v>1538.76</v>
      </c>
      <c r="O427" s="12" t="n">
        <v>141.71</v>
      </c>
      <c r="P427" s="8" t="str">
        <f aca="false">TEXT(B427,"mmm-yyyy")</f>
        <v>May-2024</v>
      </c>
      <c r="Q427" s="14" t="n">
        <f aca="false">IFERROR(O427/N427,"")</f>
        <v>0.092093633835036</v>
      </c>
      <c r="R427" s="8" t="str">
        <f aca="false">IF(OR(N427&gt;$U$3,N427&lt;$U$2),"Sales Outlier",IF(OR(O427&gt;$U$6,O427&lt;$U$4),"Profit Outlier",""))</f>
        <v/>
      </c>
    </row>
    <row r="428" customFormat="false" ht="15" hidden="false" customHeight="true" outlineLevel="0" collapsed="false">
      <c r="A428" s="8" t="s">
        <v>2186</v>
      </c>
      <c r="B428" s="11" t="n">
        <v>45436</v>
      </c>
      <c r="C428" s="11"/>
      <c r="D428" s="8" t="s">
        <v>2188</v>
      </c>
      <c r="E428" s="8" t="s">
        <v>52</v>
      </c>
      <c r="F428" s="8" t="s">
        <v>154</v>
      </c>
      <c r="G428" s="8" t="s">
        <v>119</v>
      </c>
      <c r="H428" s="8" t="s">
        <v>114</v>
      </c>
      <c r="I428" s="8" t="s">
        <v>297</v>
      </c>
      <c r="J428" s="8" t="s">
        <v>29</v>
      </c>
      <c r="K428" s="8" t="n">
        <v>2</v>
      </c>
      <c r="L428" s="12" t="n">
        <v>601.02</v>
      </c>
      <c r="M428" s="13" t="n">
        <v>0.1</v>
      </c>
      <c r="N428" s="12" t="n">
        <v>540.92</v>
      </c>
      <c r="O428" s="12" t="n">
        <v>-41.79</v>
      </c>
      <c r="P428" s="8" t="str">
        <f aca="false">TEXT(B428,"mmm-yyyy")</f>
        <v>May-2024</v>
      </c>
      <c r="Q428" s="14" t="n">
        <f aca="false">IFERROR(O428/N428,"")</f>
        <v>-0.0772572653996894</v>
      </c>
      <c r="R428" s="8" t="str">
        <f aca="false">IF(OR(N428&gt;$U$3,N428&lt;$U$2),"Sales Outlier",IF(OR(O428&gt;$U$6,O428&lt;$U$4),"Profit Outlier",""))</f>
        <v/>
      </c>
    </row>
    <row r="429" customFormat="false" ht="15" hidden="false" customHeight="true" outlineLevel="0" collapsed="false">
      <c r="A429" s="8" t="s">
        <v>2016</v>
      </c>
      <c r="B429" s="11" t="n">
        <v>45436</v>
      </c>
      <c r="C429" s="11" t="n">
        <v>45438</v>
      </c>
      <c r="D429" s="8" t="s">
        <v>1199</v>
      </c>
      <c r="E429" s="8" t="s">
        <v>34</v>
      </c>
      <c r="F429" s="8" t="s">
        <v>147</v>
      </c>
      <c r="G429" s="8" t="s">
        <v>215</v>
      </c>
      <c r="H429" s="8" t="s">
        <v>132</v>
      </c>
      <c r="I429" s="8" t="s">
        <v>104</v>
      </c>
      <c r="J429" s="8" t="s">
        <v>29</v>
      </c>
      <c r="K429" s="8" t="n">
        <v>2</v>
      </c>
      <c r="L429" s="12" t="n">
        <v>1140.5</v>
      </c>
      <c r="M429" s="13" t="n">
        <v>0.2</v>
      </c>
      <c r="N429" s="12" t="n">
        <v>1824.8</v>
      </c>
      <c r="O429" s="12" t="n">
        <v>-30.99</v>
      </c>
      <c r="P429" s="8" t="str">
        <f aca="false">TEXT(B429,"mmm-yyyy")</f>
        <v>May-2024</v>
      </c>
      <c r="Q429" s="14" t="n">
        <f aca="false">IFERROR(O429/N429,"")</f>
        <v>-0.0169826830337571</v>
      </c>
      <c r="R429" s="8" t="str">
        <f aca="false">IF(OR(N429&gt;$U$3,N429&lt;$U$2),"Sales Outlier",IF(OR(O429&gt;$U$6,O429&lt;$U$4),"Profit Outlier",""))</f>
        <v/>
      </c>
    </row>
    <row r="430" customFormat="false" ht="15" hidden="false" customHeight="true" outlineLevel="0" collapsed="false">
      <c r="A430" s="8" t="s">
        <v>2153</v>
      </c>
      <c r="B430" s="11" t="n">
        <v>45437</v>
      </c>
      <c r="C430" s="11" t="n">
        <v>45440</v>
      </c>
      <c r="D430" s="8" t="s">
        <v>358</v>
      </c>
      <c r="E430" s="8" t="s">
        <v>24</v>
      </c>
      <c r="F430" s="8" t="s">
        <v>147</v>
      </c>
      <c r="G430" s="8" t="s">
        <v>54</v>
      </c>
      <c r="H430" s="8" t="s">
        <v>77</v>
      </c>
      <c r="I430" s="8" t="s">
        <v>121</v>
      </c>
      <c r="J430" s="8" t="s">
        <v>29</v>
      </c>
      <c r="K430" s="8" t="n">
        <v>4</v>
      </c>
      <c r="L430" s="12" t="n">
        <v>507.19</v>
      </c>
      <c r="M430" s="13" t="n">
        <v>0</v>
      </c>
      <c r="N430" s="12" t="n">
        <v>2028.76</v>
      </c>
      <c r="O430" s="12" t="n">
        <v>40.43</v>
      </c>
      <c r="P430" s="8" t="str">
        <f aca="false">TEXT(B430,"mmm-yyyy")</f>
        <v>May-2024</v>
      </c>
      <c r="Q430" s="14" t="n">
        <f aca="false">IFERROR(O430/N430,"")</f>
        <v>0.0199284291882726</v>
      </c>
      <c r="R430" s="8" t="str">
        <f aca="false">IF(OR(N430&gt;$U$3,N430&lt;$U$2),"Sales Outlier",IF(OR(O430&gt;$U$6,O430&lt;$U$4),"Profit Outlier",""))</f>
        <v/>
      </c>
    </row>
    <row r="431" customFormat="false" ht="15" hidden="false" customHeight="true" outlineLevel="0" collapsed="false">
      <c r="A431" s="8" t="s">
        <v>1490</v>
      </c>
      <c r="B431" s="11" t="n">
        <v>45437</v>
      </c>
      <c r="C431" s="11" t="n">
        <v>45443</v>
      </c>
      <c r="D431" s="8" t="s">
        <v>1492</v>
      </c>
      <c r="E431" s="8" t="s">
        <v>34</v>
      </c>
      <c r="F431" s="8" t="s">
        <v>126</v>
      </c>
      <c r="G431" s="8" t="s">
        <v>82</v>
      </c>
      <c r="H431" s="8" t="s">
        <v>77</v>
      </c>
      <c r="I431" s="8" t="s">
        <v>127</v>
      </c>
      <c r="J431" s="8" t="s">
        <v>64</v>
      </c>
      <c r="K431" s="8" t="n">
        <v>4</v>
      </c>
      <c r="L431" s="12" t="n">
        <v>1128.23</v>
      </c>
      <c r="M431" s="13" t="n">
        <v>0.1</v>
      </c>
      <c r="N431" s="12" t="n">
        <v>4061.63</v>
      </c>
      <c r="O431" s="12" t="n">
        <v>608.25</v>
      </c>
      <c r="P431" s="8" t="str">
        <f aca="false">TEXT(B431,"mmm-yyyy")</f>
        <v>May-2024</v>
      </c>
      <c r="Q431" s="14" t="n">
        <f aca="false">IFERROR(O431/N431,"")</f>
        <v>0.149755147563909</v>
      </c>
      <c r="R431" s="8" t="str">
        <f aca="false">IF(OR(N431&gt;$U$3,N431&lt;$U$2),"Sales Outlier",IF(OR(O431&gt;$U$6,O431&lt;$U$4),"Profit Outlier",""))</f>
        <v/>
      </c>
    </row>
    <row r="432" customFormat="false" ht="15" hidden="false" customHeight="true" outlineLevel="0" collapsed="false">
      <c r="A432" s="8" t="s">
        <v>1554</v>
      </c>
      <c r="B432" s="11" t="n">
        <v>45437</v>
      </c>
      <c r="C432" s="11" t="n">
        <v>45438</v>
      </c>
      <c r="D432" s="8" t="s">
        <v>1556</v>
      </c>
      <c r="E432" s="8" t="s">
        <v>52</v>
      </c>
      <c r="F432" s="8" t="s">
        <v>61</v>
      </c>
      <c r="G432" s="8" t="s">
        <v>36</v>
      </c>
      <c r="H432" s="8" t="s">
        <v>37</v>
      </c>
      <c r="I432" s="8" t="s">
        <v>527</v>
      </c>
      <c r="J432" s="8" t="s">
        <v>64</v>
      </c>
      <c r="K432" s="8" t="n">
        <v>2</v>
      </c>
      <c r="L432" s="12" t="n">
        <v>64.34</v>
      </c>
      <c r="M432" s="13" t="n">
        <v>0.15</v>
      </c>
      <c r="N432" s="12" t="n">
        <v>109.38</v>
      </c>
      <c r="O432" s="12" t="n">
        <v>7.91</v>
      </c>
      <c r="P432" s="8" t="str">
        <f aca="false">TEXT(B432,"mmm-yyyy")</f>
        <v>May-2024</v>
      </c>
      <c r="Q432" s="14" t="n">
        <f aca="false">IFERROR(O432/N432,"")</f>
        <v>0.0723166940939843</v>
      </c>
      <c r="R432" s="8" t="str">
        <f aca="false">IF(OR(N432&gt;$U$3,N432&lt;$U$2),"Sales Outlier",IF(OR(O432&gt;$U$6,O432&lt;$U$4),"Profit Outlier",""))</f>
        <v/>
      </c>
    </row>
    <row r="433" customFormat="false" ht="15" hidden="false" customHeight="true" outlineLevel="0" collapsed="false">
      <c r="A433" s="8" t="s">
        <v>979</v>
      </c>
      <c r="B433" s="11" t="n">
        <v>45438</v>
      </c>
      <c r="C433" s="11" t="n">
        <v>45442</v>
      </c>
      <c r="D433" s="8" t="s">
        <v>982</v>
      </c>
      <c r="E433" s="8" t="s">
        <v>52</v>
      </c>
      <c r="F433" s="8" t="s">
        <v>61</v>
      </c>
      <c r="G433" s="8" t="s">
        <v>76</v>
      </c>
      <c r="H433" s="8" t="s">
        <v>45</v>
      </c>
      <c r="I433" s="8" t="s">
        <v>149</v>
      </c>
      <c r="J433" s="8" t="s">
        <v>39</v>
      </c>
      <c r="K433" s="8" t="n">
        <v>2</v>
      </c>
      <c r="L433" s="12" t="n">
        <v>231.99</v>
      </c>
      <c r="M433" s="13" t="n">
        <v>0.2</v>
      </c>
      <c r="N433" s="12" t="n">
        <v>371.18</v>
      </c>
      <c r="O433" s="12" t="n">
        <v>-25.94</v>
      </c>
      <c r="P433" s="8" t="str">
        <f aca="false">TEXT(B433,"mmm-yyyy")</f>
        <v>May-2024</v>
      </c>
      <c r="Q433" s="14" t="n">
        <f aca="false">IFERROR(O433/N433,"")</f>
        <v>-0.0698852308852848</v>
      </c>
      <c r="R433" s="8" t="str">
        <f aca="false">IF(OR(N433&gt;$U$3,N433&lt;$U$2),"Sales Outlier",IF(OR(O433&gt;$U$6,O433&lt;$U$4),"Profit Outlier",""))</f>
        <v/>
      </c>
    </row>
    <row r="434" customFormat="false" ht="15" hidden="false" customHeight="true" outlineLevel="0" collapsed="false">
      <c r="A434" s="8" t="s">
        <v>1533</v>
      </c>
      <c r="B434" s="11" t="n">
        <v>45438</v>
      </c>
      <c r="C434" s="11" t="n">
        <v>45445</v>
      </c>
      <c r="D434" s="8" t="s">
        <v>1536</v>
      </c>
      <c r="E434" s="8" t="s">
        <v>52</v>
      </c>
      <c r="F434" s="8" t="s">
        <v>154</v>
      </c>
      <c r="G434" s="8" t="s">
        <v>182</v>
      </c>
      <c r="H434" s="8" t="s">
        <v>45</v>
      </c>
      <c r="I434" s="8" t="s">
        <v>149</v>
      </c>
      <c r="J434" s="8" t="s">
        <v>39</v>
      </c>
      <c r="K434" s="8" t="n">
        <v>1</v>
      </c>
      <c r="L434" s="12" t="n">
        <v>1104.92</v>
      </c>
      <c r="M434" s="13" t="n">
        <v>0.15</v>
      </c>
      <c r="N434" s="12" t="n">
        <v>939.18</v>
      </c>
      <c r="O434" s="12" t="n">
        <v>204.23</v>
      </c>
      <c r="P434" s="8" t="str">
        <f aca="false">TEXT(B434,"mmm-yyyy")</f>
        <v>May-2024</v>
      </c>
      <c r="Q434" s="14" t="n">
        <f aca="false">IFERROR(O434/N434,"")</f>
        <v>0.217455652803509</v>
      </c>
      <c r="R434" s="8" t="str">
        <f aca="false">IF(OR(N434&gt;$U$3,N434&lt;$U$2),"Sales Outlier",IF(OR(O434&gt;$U$6,O434&lt;$U$4),"Profit Outlier",""))</f>
        <v/>
      </c>
    </row>
    <row r="435" customFormat="false" ht="15" hidden="false" customHeight="true" outlineLevel="0" collapsed="false">
      <c r="A435" s="8" t="s">
        <v>1620</v>
      </c>
      <c r="B435" s="11" t="n">
        <v>45438</v>
      </c>
      <c r="C435" s="11" t="n">
        <v>45445</v>
      </c>
      <c r="D435" s="8" t="s">
        <v>317</v>
      </c>
      <c r="E435" s="8" t="s">
        <v>2285</v>
      </c>
      <c r="F435" s="8" t="s">
        <v>154</v>
      </c>
      <c r="G435" s="8" t="s">
        <v>182</v>
      </c>
      <c r="H435" s="8" t="s">
        <v>45</v>
      </c>
      <c r="I435" s="8" t="s">
        <v>138</v>
      </c>
      <c r="J435" s="8" t="s">
        <v>64</v>
      </c>
      <c r="K435" s="8" t="n">
        <v>3</v>
      </c>
      <c r="L435" s="12" t="n">
        <v>1132.31</v>
      </c>
      <c r="M435" s="13" t="n">
        <v>0</v>
      </c>
      <c r="N435" s="12" t="n">
        <v>3396.93</v>
      </c>
      <c r="O435" s="12" t="n">
        <v>482.1</v>
      </c>
      <c r="P435" s="8" t="str">
        <f aca="false">TEXT(B435,"mmm-yyyy")</f>
        <v>May-2024</v>
      </c>
      <c r="Q435" s="14" t="n">
        <f aca="false">IFERROR(O435/N435,"")</f>
        <v>0.141922265104079</v>
      </c>
      <c r="R435" s="8" t="str">
        <f aca="false">IF(OR(N435&gt;$U$3,N435&lt;$U$2),"Sales Outlier",IF(OR(O435&gt;$U$6,O435&lt;$U$4),"Profit Outlier",""))</f>
        <v/>
      </c>
    </row>
    <row r="436" customFormat="false" ht="15" hidden="false" customHeight="true" outlineLevel="0" collapsed="false">
      <c r="A436" s="8" t="s">
        <v>469</v>
      </c>
      <c r="B436" s="11" t="n">
        <v>45439</v>
      </c>
      <c r="C436" s="11" t="n">
        <v>45446</v>
      </c>
      <c r="D436" s="8" t="s">
        <v>472</v>
      </c>
      <c r="E436" s="8" t="s">
        <v>34</v>
      </c>
      <c r="F436" s="8" t="s">
        <v>154</v>
      </c>
      <c r="G436" s="8" t="s">
        <v>182</v>
      </c>
      <c r="H436" s="8" t="s">
        <v>37</v>
      </c>
      <c r="I436" s="8" t="s">
        <v>84</v>
      </c>
      <c r="J436" s="8" t="s">
        <v>29</v>
      </c>
      <c r="K436" s="8" t="n">
        <v>4</v>
      </c>
      <c r="L436" s="12" t="n">
        <v>425.88</v>
      </c>
      <c r="M436" s="13" t="n">
        <v>0</v>
      </c>
      <c r="N436" s="12" t="n">
        <v>1703.52</v>
      </c>
      <c r="O436" s="12" t="n">
        <v>-4</v>
      </c>
      <c r="P436" s="8" t="str">
        <f aca="false">TEXT(B436,"mmm-yyyy")</f>
        <v>May-2024</v>
      </c>
      <c r="Q436" s="14" t="n">
        <f aca="false">IFERROR(O436/N436,"")</f>
        <v>-0.00234807927115619</v>
      </c>
      <c r="R436" s="8" t="str">
        <f aca="false">IF(OR(N436&gt;$U$3,N436&lt;$U$2),"Sales Outlier",IF(OR(O436&gt;$U$6,O436&lt;$U$4),"Profit Outlier",""))</f>
        <v/>
      </c>
    </row>
    <row r="437" customFormat="false" ht="15" hidden="false" customHeight="true" outlineLevel="0" collapsed="false">
      <c r="A437" s="8" t="s">
        <v>1238</v>
      </c>
      <c r="B437" s="11" t="n">
        <v>45441</v>
      </c>
      <c r="C437" s="11" t="n">
        <v>45444</v>
      </c>
      <c r="D437" s="8" t="s">
        <v>1240</v>
      </c>
      <c r="E437" s="8" t="s">
        <v>34</v>
      </c>
      <c r="F437" s="8" t="s">
        <v>154</v>
      </c>
      <c r="G437" s="8" t="s">
        <v>182</v>
      </c>
      <c r="H437" s="8" t="s">
        <v>77</v>
      </c>
      <c r="I437" s="8" t="s">
        <v>127</v>
      </c>
      <c r="J437" s="8" t="s">
        <v>39</v>
      </c>
      <c r="K437" s="8" t="n">
        <v>1</v>
      </c>
      <c r="L437" s="12" t="n">
        <v>500.8</v>
      </c>
      <c r="M437" s="13" t="n">
        <v>0.15</v>
      </c>
      <c r="N437" s="12" t="n">
        <v>425.68</v>
      </c>
      <c r="O437" s="12" t="n">
        <v>81.94</v>
      </c>
      <c r="P437" s="8" t="str">
        <f aca="false">TEXT(B437,"mmm-yyyy")</f>
        <v>May-2024</v>
      </c>
      <c r="Q437" s="14" t="n">
        <f aca="false">IFERROR(O437/N437,"")</f>
        <v>0.192492012779553</v>
      </c>
      <c r="R437" s="8" t="str">
        <f aca="false">IF(OR(N437&gt;$U$3,N437&lt;$U$2),"Sales Outlier",IF(OR(O437&gt;$U$6,O437&lt;$U$4),"Profit Outlier",""))</f>
        <v/>
      </c>
    </row>
    <row r="438" customFormat="false" ht="15" hidden="false" customHeight="true" outlineLevel="0" collapsed="false">
      <c r="A438" s="8" t="s">
        <v>563</v>
      </c>
      <c r="B438" s="11" t="n">
        <v>45442</v>
      </c>
      <c r="C438" s="11" t="n">
        <v>45449</v>
      </c>
      <c r="D438" s="8" t="s">
        <v>2282</v>
      </c>
      <c r="E438" s="8" t="s">
        <v>52</v>
      </c>
      <c r="F438" s="8" t="s">
        <v>126</v>
      </c>
      <c r="G438" s="8" t="s">
        <v>89</v>
      </c>
      <c r="H438" s="8" t="s">
        <v>132</v>
      </c>
      <c r="I438" s="8" t="s">
        <v>104</v>
      </c>
      <c r="J438" s="8" t="s">
        <v>39</v>
      </c>
      <c r="K438" s="8" t="n">
        <v>1</v>
      </c>
      <c r="L438" s="12" t="n">
        <v>581.97</v>
      </c>
      <c r="M438" s="13" t="n">
        <v>0.2</v>
      </c>
      <c r="N438" s="12" t="n">
        <v>465.58</v>
      </c>
      <c r="O438" s="12" t="n">
        <v>156.14</v>
      </c>
      <c r="P438" s="8" t="str">
        <f aca="false">TEXT(B438,"mmm-yyyy")</f>
        <v>May-2024</v>
      </c>
      <c r="Q438" s="14" t="n">
        <f aca="false">IFERROR(O438/N438,"")</f>
        <v>0.335366639460458</v>
      </c>
      <c r="R438" s="8" t="str">
        <f aca="false">IF(OR(N438&gt;$U$3,N438&lt;$U$2),"Sales Outlier",IF(OR(O438&gt;$U$6,O438&lt;$U$4),"Profit Outlier",""))</f>
        <v/>
      </c>
    </row>
    <row r="439" customFormat="false" ht="15" hidden="false" customHeight="true" outlineLevel="0" collapsed="false">
      <c r="A439" s="8" t="s">
        <v>803</v>
      </c>
      <c r="B439" s="11" t="n">
        <v>45443</v>
      </c>
      <c r="C439" s="11" t="n">
        <v>45444</v>
      </c>
      <c r="D439" s="8" t="s">
        <v>806</v>
      </c>
      <c r="E439" s="8" t="s">
        <v>34</v>
      </c>
      <c r="F439" s="8" t="s">
        <v>147</v>
      </c>
      <c r="G439" s="8" t="s">
        <v>215</v>
      </c>
      <c r="H439" s="8" t="s">
        <v>77</v>
      </c>
      <c r="I439" s="8" t="s">
        <v>71</v>
      </c>
      <c r="J439" s="8" t="s">
        <v>39</v>
      </c>
      <c r="K439" s="8" t="n">
        <v>1</v>
      </c>
      <c r="L439" s="12" t="n">
        <v>1189.57</v>
      </c>
      <c r="M439" s="13" t="n">
        <v>0</v>
      </c>
      <c r="N439" s="12" t="n">
        <v>1189.57</v>
      </c>
      <c r="O439" s="12" t="n">
        <v>146.17</v>
      </c>
      <c r="P439" s="8" t="str">
        <f aca="false">TEXT(B439,"mmm-yyyy")</f>
        <v>May-2024</v>
      </c>
      <c r="Q439" s="14" t="n">
        <f aca="false">IFERROR(O439/N439,"")</f>
        <v>0.122876333465034</v>
      </c>
      <c r="R439" s="8" t="str">
        <f aca="false">IF(OR(N439&gt;$U$3,N439&lt;$U$2),"Sales Outlier",IF(OR(O439&gt;$U$6,O439&lt;$U$4),"Profit Outlier",""))</f>
        <v/>
      </c>
    </row>
    <row r="440" customFormat="false" ht="15" hidden="false" customHeight="true" outlineLevel="0" collapsed="false">
      <c r="A440" s="8" t="s">
        <v>174</v>
      </c>
      <c r="B440" s="11" t="n">
        <v>45445</v>
      </c>
      <c r="C440" s="11" t="n">
        <v>45451</v>
      </c>
      <c r="D440" s="8" t="s">
        <v>177</v>
      </c>
      <c r="E440" s="8" t="s">
        <v>34</v>
      </c>
      <c r="F440" s="8" t="s">
        <v>154</v>
      </c>
      <c r="G440" s="8" t="s">
        <v>119</v>
      </c>
      <c r="H440" s="8" t="s">
        <v>37</v>
      </c>
      <c r="I440" s="8" t="s">
        <v>143</v>
      </c>
      <c r="J440" s="8" t="s">
        <v>29</v>
      </c>
      <c r="K440" s="8" t="n">
        <v>1</v>
      </c>
      <c r="L440" s="12" t="n">
        <v>231.8</v>
      </c>
      <c r="M440" s="13" t="n">
        <v>0.1</v>
      </c>
      <c r="N440" s="12" t="n">
        <v>208.62</v>
      </c>
      <c r="O440" s="12" t="n">
        <v>-12.1</v>
      </c>
      <c r="P440" s="8" t="str">
        <f aca="false">TEXT(B440,"mmm-yyyy")</f>
        <v>Jun-2024</v>
      </c>
      <c r="Q440" s="14" t="n">
        <f aca="false">IFERROR(O440/N440,"")</f>
        <v>-0.058000191736171</v>
      </c>
      <c r="R440" s="8" t="str">
        <f aca="false">IF(OR(N440&gt;$U$3,N440&lt;$U$2),"Sales Outlier",IF(OR(O440&gt;$U$6,O440&lt;$U$4),"Profit Outlier",""))</f>
        <v/>
      </c>
    </row>
    <row r="441" customFormat="false" ht="15" hidden="false" customHeight="true" outlineLevel="0" collapsed="false">
      <c r="A441" s="8" t="s">
        <v>1671</v>
      </c>
      <c r="B441" s="11" t="n">
        <v>45446</v>
      </c>
      <c r="C441" s="11" t="n">
        <v>45447</v>
      </c>
      <c r="D441" s="8" t="s">
        <v>1091</v>
      </c>
      <c r="E441" s="8" t="s">
        <v>52</v>
      </c>
      <c r="F441" s="8" t="s">
        <v>126</v>
      </c>
      <c r="G441" s="8" t="s">
        <v>89</v>
      </c>
      <c r="H441" s="8" t="s">
        <v>132</v>
      </c>
      <c r="I441" s="8" t="s">
        <v>133</v>
      </c>
      <c r="J441" s="8" t="s">
        <v>64</v>
      </c>
      <c r="K441" s="8" t="n">
        <v>1</v>
      </c>
      <c r="L441" s="12" t="n">
        <v>989.21</v>
      </c>
      <c r="M441" s="13" t="n">
        <v>0</v>
      </c>
      <c r="N441" s="12" t="n">
        <v>989.21</v>
      </c>
      <c r="O441" s="12" t="n">
        <v>97.62</v>
      </c>
      <c r="P441" s="8" t="str">
        <f aca="false">TEXT(B441,"mmm-yyyy")</f>
        <v>Jun-2024</v>
      </c>
      <c r="Q441" s="14" t="n">
        <f aca="false">IFERROR(O441/N441,"")</f>
        <v>0.098684809090082</v>
      </c>
      <c r="R441" s="8" t="str">
        <f aca="false">IF(OR(N441&gt;$U$3,N441&lt;$U$2),"Sales Outlier",IF(OR(O441&gt;$U$6,O441&lt;$U$4),"Profit Outlier",""))</f>
        <v/>
      </c>
    </row>
    <row r="442" customFormat="false" ht="15" hidden="false" customHeight="true" outlineLevel="0" collapsed="false">
      <c r="A442" s="8" t="s">
        <v>1684</v>
      </c>
      <c r="B442" s="11" t="n">
        <v>45446</v>
      </c>
      <c r="C442" s="11" t="n">
        <v>45451</v>
      </c>
      <c r="D442" s="8" t="s">
        <v>1686</v>
      </c>
      <c r="E442" s="8" t="s">
        <v>34</v>
      </c>
      <c r="F442" s="8" t="s">
        <v>126</v>
      </c>
      <c r="G442" s="8" t="s">
        <v>89</v>
      </c>
      <c r="H442" s="8" t="s">
        <v>77</v>
      </c>
      <c r="I442" s="8" t="s">
        <v>78</v>
      </c>
      <c r="J442" s="8" t="s">
        <v>29</v>
      </c>
      <c r="K442" s="8" t="n">
        <v>4</v>
      </c>
      <c r="L442" s="12" t="n">
        <v>389.89</v>
      </c>
      <c r="M442" s="13" t="n">
        <v>0.15</v>
      </c>
      <c r="N442" s="12" t="n">
        <v>1325.63</v>
      </c>
      <c r="O442" s="12" t="n">
        <v>366.7</v>
      </c>
      <c r="P442" s="8" t="str">
        <f aca="false">TEXT(B442,"mmm-yyyy")</f>
        <v>Jun-2024</v>
      </c>
      <c r="Q442" s="14" t="n">
        <f aca="false">IFERROR(O442/N442,"")</f>
        <v>0.276623190483016</v>
      </c>
      <c r="R442" s="8" t="str">
        <f aca="false">IF(OR(N442&gt;$U$3,N442&lt;$U$2),"Sales Outlier",IF(OR(O442&gt;$U$6,O442&lt;$U$4),"Profit Outlier",""))</f>
        <v/>
      </c>
    </row>
    <row r="443" customFormat="false" ht="15" hidden="false" customHeight="true" outlineLevel="0" collapsed="false">
      <c r="A443" s="8" t="s">
        <v>2237</v>
      </c>
      <c r="B443" s="11" t="n">
        <v>45447</v>
      </c>
      <c r="C443" s="11" t="n">
        <v>45569</v>
      </c>
      <c r="D443" s="8" t="s">
        <v>363</v>
      </c>
      <c r="E443" s="8" t="s">
        <v>52</v>
      </c>
      <c r="F443" s="8" t="s">
        <v>126</v>
      </c>
      <c r="G443" s="8" t="s">
        <v>89</v>
      </c>
      <c r="H443" s="8" t="s">
        <v>37</v>
      </c>
      <c r="I443" s="8" t="s">
        <v>404</v>
      </c>
      <c r="J443" s="8" t="s">
        <v>39</v>
      </c>
      <c r="K443" s="8" t="n">
        <v>4</v>
      </c>
      <c r="L443" s="12" t="n">
        <v>898.74</v>
      </c>
      <c r="M443" s="13" t="n">
        <v>0.2</v>
      </c>
      <c r="N443" s="12" t="n">
        <v>2875.97</v>
      </c>
      <c r="O443" s="12" t="n">
        <v>619.24</v>
      </c>
      <c r="P443" s="8" t="str">
        <f aca="false">TEXT(B443,"mmm-yyyy")</f>
        <v>Jun-2024</v>
      </c>
      <c r="Q443" s="14" t="n">
        <f aca="false">IFERROR(O443/N443,"")</f>
        <v>0.215315180617322</v>
      </c>
      <c r="R443" s="8" t="str">
        <f aca="false">IF(OR(N443&gt;$U$3,N443&lt;$U$2),"Sales Outlier",IF(OR(O443&gt;$U$6,O443&lt;$U$4),"Profit Outlier",""))</f>
        <v/>
      </c>
    </row>
    <row r="444" customFormat="false" ht="15" hidden="false" customHeight="true" outlineLevel="0" collapsed="false">
      <c r="A444" s="8" t="s">
        <v>1680</v>
      </c>
      <c r="B444" s="11" t="n">
        <v>45447</v>
      </c>
      <c r="C444" s="11" t="n">
        <v>45477</v>
      </c>
      <c r="D444" s="8" t="s">
        <v>1681</v>
      </c>
      <c r="E444" s="8" t="s">
        <v>52</v>
      </c>
      <c r="F444" s="8" t="s">
        <v>154</v>
      </c>
      <c r="G444" s="8" t="s">
        <v>182</v>
      </c>
      <c r="H444" s="8" t="s">
        <v>45</v>
      </c>
      <c r="I444" s="8" t="s">
        <v>160</v>
      </c>
      <c r="J444" s="8" t="s">
        <v>29</v>
      </c>
      <c r="K444" s="8" t="n">
        <v>2</v>
      </c>
      <c r="L444" s="12" t="n">
        <v>474.71</v>
      </c>
      <c r="M444" s="13" t="n">
        <v>0.1</v>
      </c>
      <c r="N444" s="12" t="n">
        <v>854.48</v>
      </c>
      <c r="O444" s="12" t="n">
        <v>163.94</v>
      </c>
      <c r="P444" s="8" t="str">
        <f aca="false">TEXT(B444,"mmm-yyyy")</f>
        <v>Jun-2024</v>
      </c>
      <c r="Q444" s="14" t="n">
        <f aca="false">IFERROR(O444/N444,"")</f>
        <v>0.191859376462878</v>
      </c>
      <c r="R444" s="8" t="str">
        <f aca="false">IF(OR(N444&gt;$U$3,N444&lt;$U$2),"Sales Outlier",IF(OR(O444&gt;$U$6,O444&lt;$U$4),"Profit Outlier",""))</f>
        <v/>
      </c>
    </row>
    <row r="445" customFormat="false" ht="15" hidden="false" customHeight="true" outlineLevel="0" collapsed="false">
      <c r="A445" s="8" t="s">
        <v>2043</v>
      </c>
      <c r="B445" s="11" t="n">
        <v>45448</v>
      </c>
      <c r="C445" s="11" t="n">
        <v>45452</v>
      </c>
      <c r="D445" s="8" t="s">
        <v>2046</v>
      </c>
      <c r="E445" s="8" t="s">
        <v>34</v>
      </c>
      <c r="F445" s="8" t="s">
        <v>61</v>
      </c>
      <c r="G445" s="8" t="s">
        <v>62</v>
      </c>
      <c r="H445" s="8" t="s">
        <v>77</v>
      </c>
      <c r="I445" s="8" t="s">
        <v>71</v>
      </c>
      <c r="J445" s="8" t="s">
        <v>47</v>
      </c>
      <c r="K445" s="8" t="n">
        <v>2</v>
      </c>
      <c r="L445" s="12" t="n">
        <v>587.66</v>
      </c>
      <c r="M445" s="13" t="n">
        <v>0.1</v>
      </c>
      <c r="N445" s="12" t="n">
        <v>1057.79</v>
      </c>
      <c r="O445" s="12" t="n">
        <v>57.22</v>
      </c>
      <c r="P445" s="8" t="str">
        <f aca="false">TEXT(B445,"mmm-yyyy")</f>
        <v>Jun-2024</v>
      </c>
      <c r="Q445" s="14" t="n">
        <f aca="false">IFERROR(O445/N445,"")</f>
        <v>0.0540939127804196</v>
      </c>
      <c r="R445" s="8" t="str">
        <f aca="false">IF(OR(N445&gt;$U$3,N445&lt;$U$2),"Sales Outlier",IF(OR(O445&gt;$U$6,O445&lt;$U$4),"Profit Outlier",""))</f>
        <v/>
      </c>
    </row>
    <row r="446" customFormat="false" ht="15" hidden="false" customHeight="true" outlineLevel="0" collapsed="false">
      <c r="A446" s="8" t="s">
        <v>318</v>
      </c>
      <c r="B446" s="11" t="n">
        <v>45449</v>
      </c>
      <c r="C446" s="11" t="n">
        <v>45453</v>
      </c>
      <c r="D446" s="8" t="s">
        <v>321</v>
      </c>
      <c r="E446" s="8" t="s">
        <v>52</v>
      </c>
      <c r="F446" s="8" t="s">
        <v>61</v>
      </c>
      <c r="G446" s="8" t="s">
        <v>36</v>
      </c>
      <c r="H446" s="8" t="s">
        <v>114</v>
      </c>
      <c r="I446" s="8" t="s">
        <v>109</v>
      </c>
      <c r="J446" s="8" t="s">
        <v>39</v>
      </c>
      <c r="K446" s="8" t="n">
        <v>4</v>
      </c>
      <c r="L446" s="12" t="n">
        <v>514.16</v>
      </c>
      <c r="M446" s="13" t="n">
        <v>0</v>
      </c>
      <c r="N446" s="12" t="n">
        <v>2056.64</v>
      </c>
      <c r="O446" s="12" t="n">
        <v>181.26</v>
      </c>
      <c r="P446" s="8" t="str">
        <f aca="false">TEXT(B446,"mmm-yyyy")</f>
        <v>Jun-2024</v>
      </c>
      <c r="Q446" s="14" t="n">
        <f aca="false">IFERROR(O446/N446,"")</f>
        <v>0.0881340438773923</v>
      </c>
      <c r="R446" s="8" t="str">
        <f aca="false">IF(OR(N446&gt;$U$3,N446&lt;$U$2),"Sales Outlier",IF(OR(O446&gt;$U$6,O446&lt;$U$4),"Profit Outlier",""))</f>
        <v/>
      </c>
    </row>
    <row r="447" customFormat="false" ht="15" hidden="false" customHeight="true" outlineLevel="0" collapsed="false">
      <c r="A447" s="8" t="s">
        <v>1275</v>
      </c>
      <c r="B447" s="11" t="n">
        <v>45451</v>
      </c>
      <c r="C447" s="11" t="n">
        <v>45458</v>
      </c>
      <c r="D447" s="8" t="s">
        <v>1278</v>
      </c>
      <c r="E447" s="8" t="s">
        <v>52</v>
      </c>
      <c r="F447" s="8" t="s">
        <v>147</v>
      </c>
      <c r="G447" s="8" t="s">
        <v>54</v>
      </c>
      <c r="H447" s="8" t="s">
        <v>114</v>
      </c>
      <c r="I447" s="8" t="s">
        <v>201</v>
      </c>
      <c r="J447" s="8" t="s">
        <v>64</v>
      </c>
      <c r="K447" s="8" t="n">
        <v>1</v>
      </c>
      <c r="L447" s="12" t="n">
        <v>645.47</v>
      </c>
      <c r="M447" s="13" t="n">
        <v>0.2</v>
      </c>
      <c r="N447" s="12" t="n">
        <v>516.38</v>
      </c>
      <c r="O447" s="12" t="n">
        <v>-0.57</v>
      </c>
      <c r="P447" s="8" t="str">
        <f aca="false">TEXT(B447,"mmm-yyyy")</f>
        <v>Jun-2024</v>
      </c>
      <c r="Q447" s="14" t="n">
        <f aca="false">IFERROR(O447/N447,"")</f>
        <v>-0.00110383825864673</v>
      </c>
      <c r="R447" s="8" t="str">
        <f aca="false">IF(OR(N447&gt;$U$3,N447&lt;$U$2),"Sales Outlier",IF(OR(O447&gt;$U$6,O447&lt;$U$4),"Profit Outlier",""))</f>
        <v/>
      </c>
    </row>
    <row r="448" customFormat="false" ht="15" hidden="false" customHeight="true" outlineLevel="0" collapsed="false">
      <c r="A448" s="8" t="s">
        <v>1901</v>
      </c>
      <c r="B448" s="11" t="n">
        <v>45452</v>
      </c>
      <c r="C448" s="11" t="n">
        <v>45458</v>
      </c>
      <c r="D448" s="8" t="s">
        <v>2303</v>
      </c>
      <c r="E448" s="8" t="s">
        <v>34</v>
      </c>
      <c r="F448" s="8" t="s">
        <v>61</v>
      </c>
      <c r="G448" s="8" t="s">
        <v>36</v>
      </c>
      <c r="H448" s="8" t="s">
        <v>114</v>
      </c>
      <c r="I448" s="8" t="s">
        <v>201</v>
      </c>
      <c r="J448" s="8" t="s">
        <v>29</v>
      </c>
      <c r="K448" s="8" t="n">
        <v>4</v>
      </c>
      <c r="L448" s="12" t="n">
        <v>334.95</v>
      </c>
      <c r="M448" s="13" t="n">
        <v>0</v>
      </c>
      <c r="N448" s="12" t="n">
        <v>1339.8</v>
      </c>
      <c r="O448" s="12" t="n">
        <v>344.85</v>
      </c>
      <c r="P448" s="8" t="str">
        <f aca="false">TEXT(B448,"mmm-yyyy")</f>
        <v>Jun-2024</v>
      </c>
      <c r="Q448" s="14" t="n">
        <f aca="false">IFERROR(O448/N448,"")</f>
        <v>0.257389162561576</v>
      </c>
      <c r="R448" s="8" t="str">
        <f aca="false">IF(OR(N448&gt;$U$3,N448&lt;$U$2),"Sales Outlier",IF(OR(O448&gt;$U$6,O448&lt;$U$4),"Profit Outlier",""))</f>
        <v/>
      </c>
    </row>
    <row r="449" customFormat="false" ht="15" hidden="false" customHeight="true" outlineLevel="0" collapsed="false">
      <c r="A449" s="8" t="s">
        <v>1870</v>
      </c>
      <c r="B449" s="11" t="n">
        <v>45454</v>
      </c>
      <c r="C449" s="11" t="n">
        <v>45637</v>
      </c>
      <c r="D449" s="8" t="s">
        <v>1872</v>
      </c>
      <c r="E449" s="8" t="s">
        <v>52</v>
      </c>
      <c r="F449" s="8" t="s">
        <v>154</v>
      </c>
      <c r="G449" s="8" t="s">
        <v>102</v>
      </c>
      <c r="H449" s="8" t="s">
        <v>114</v>
      </c>
      <c r="I449" s="8" t="s">
        <v>201</v>
      </c>
      <c r="J449" s="8" t="s">
        <v>47</v>
      </c>
      <c r="K449" s="8" t="n">
        <v>3</v>
      </c>
      <c r="L449" s="12" t="n">
        <v>814.93</v>
      </c>
      <c r="M449" s="13" t="n">
        <v>0</v>
      </c>
      <c r="N449" s="12" t="n">
        <v>2444.79</v>
      </c>
      <c r="O449" s="12" t="n">
        <v>-207.77</v>
      </c>
      <c r="P449" s="8" t="str">
        <f aca="false">TEXT(B449,"mmm-yyyy")</f>
        <v>Jun-2024</v>
      </c>
      <c r="Q449" s="14" t="n">
        <f aca="false">IFERROR(O449/N449,"")</f>
        <v>-0.0849848044208296</v>
      </c>
      <c r="R449" s="8" t="str">
        <f aca="false">IF(OR(N449&gt;$U$3,N449&lt;$U$2),"Sales Outlier",IF(OR(O449&gt;$U$6,O449&lt;$U$4),"Profit Outlier",""))</f>
        <v/>
      </c>
    </row>
    <row r="450" customFormat="false" ht="15" hidden="false" customHeight="true" outlineLevel="0" collapsed="false">
      <c r="A450" s="8" t="s">
        <v>1267</v>
      </c>
      <c r="B450" s="11" t="n">
        <v>45454</v>
      </c>
      <c r="C450" s="11"/>
      <c r="D450" s="8" t="s">
        <v>1255</v>
      </c>
      <c r="E450" s="8" t="s">
        <v>24</v>
      </c>
      <c r="F450" s="8" t="s">
        <v>147</v>
      </c>
      <c r="G450" s="8" t="s">
        <v>326</v>
      </c>
      <c r="H450" s="8" t="s">
        <v>114</v>
      </c>
      <c r="I450" s="8" t="s">
        <v>96</v>
      </c>
      <c r="J450" s="8" t="s">
        <v>39</v>
      </c>
      <c r="K450" s="8" t="n">
        <v>2</v>
      </c>
      <c r="L450" s="12" t="n">
        <v>799.25</v>
      </c>
      <c r="M450" s="13" t="n">
        <v>0.15</v>
      </c>
      <c r="N450" s="12" t="n">
        <v>1358.72</v>
      </c>
      <c r="O450" s="12" t="n">
        <v>116.8</v>
      </c>
      <c r="P450" s="8" t="str">
        <f aca="false">TEXT(B450,"mmm-yyyy")</f>
        <v>Jun-2024</v>
      </c>
      <c r="Q450" s="14" t="n">
        <f aca="false">IFERROR(O450/N450,"")</f>
        <v>0.0859632595383891</v>
      </c>
      <c r="R450" s="8" t="str">
        <f aca="false">IF(OR(N450&gt;$U$3,N450&lt;$U$2),"Sales Outlier",IF(OR(O450&gt;$U$6,O450&lt;$U$4),"Profit Outlier",""))</f>
        <v/>
      </c>
    </row>
    <row r="451" customFormat="false" ht="15" hidden="false" customHeight="true" outlineLevel="0" collapsed="false">
      <c r="A451" s="8" t="s">
        <v>2126</v>
      </c>
      <c r="B451" s="11" t="n">
        <v>45454</v>
      </c>
      <c r="C451" s="11" t="n">
        <v>45515</v>
      </c>
      <c r="D451" s="8" t="s">
        <v>2128</v>
      </c>
      <c r="E451" s="8" t="s">
        <v>2285</v>
      </c>
      <c r="F451" s="8" t="s">
        <v>61</v>
      </c>
      <c r="G451" s="8" t="s">
        <v>62</v>
      </c>
      <c r="H451" s="8" t="s">
        <v>45</v>
      </c>
      <c r="I451" s="8" t="s">
        <v>160</v>
      </c>
      <c r="J451" s="8" t="s">
        <v>39</v>
      </c>
      <c r="K451" s="8" t="n">
        <v>2</v>
      </c>
      <c r="L451" s="12" t="n">
        <v>559.74</v>
      </c>
      <c r="M451" s="13" t="n">
        <v>0</v>
      </c>
      <c r="N451" s="12" t="n">
        <v>1119.48</v>
      </c>
      <c r="O451" s="12" t="n">
        <v>-23.12</v>
      </c>
      <c r="P451" s="8" t="str">
        <f aca="false">TEXT(B451,"mmm-yyyy")</f>
        <v>Jun-2024</v>
      </c>
      <c r="Q451" s="14" t="n">
        <f aca="false">IFERROR(O451/N451,"")</f>
        <v>-0.0206524457783971</v>
      </c>
      <c r="R451" s="8" t="str">
        <f aca="false">IF(OR(N451&gt;$U$3,N451&lt;$U$2),"Sales Outlier",IF(OR(O451&gt;$U$6,O451&lt;$U$4),"Profit Outlier",""))</f>
        <v/>
      </c>
    </row>
    <row r="452" customFormat="false" ht="15" hidden="false" customHeight="true" outlineLevel="0" collapsed="false">
      <c r="A452" s="8" t="s">
        <v>786</v>
      </c>
      <c r="B452" s="11" t="n">
        <v>45454</v>
      </c>
      <c r="C452" s="11" t="n">
        <v>45576</v>
      </c>
      <c r="D452" s="8" t="s">
        <v>704</v>
      </c>
      <c r="E452" s="8" t="s">
        <v>24</v>
      </c>
      <c r="F452" s="8" t="s">
        <v>126</v>
      </c>
      <c r="G452" s="8" t="s">
        <v>26</v>
      </c>
      <c r="H452" s="8" t="s">
        <v>132</v>
      </c>
      <c r="I452" s="8" t="s">
        <v>56</v>
      </c>
      <c r="J452" s="8" t="s">
        <v>64</v>
      </c>
      <c r="K452" s="8" t="n">
        <v>2</v>
      </c>
      <c r="L452" s="12" t="n">
        <v>408.53</v>
      </c>
      <c r="M452" s="13" t="n">
        <v>0.05</v>
      </c>
      <c r="N452" s="12" t="n">
        <v>776.21</v>
      </c>
      <c r="O452" s="12" t="n">
        <v>120.57</v>
      </c>
      <c r="P452" s="8" t="str">
        <f aca="false">TEXT(B452,"mmm-yyyy")</f>
        <v>Jun-2024</v>
      </c>
      <c r="Q452" s="14" t="n">
        <f aca="false">IFERROR(O452/N452,"")</f>
        <v>0.155331675706317</v>
      </c>
      <c r="R452" s="8" t="str">
        <f aca="false">IF(OR(N452&gt;$U$3,N452&lt;$U$2),"Sales Outlier",IF(OR(O452&gt;$U$6,O452&lt;$U$4),"Profit Outlier",""))</f>
        <v/>
      </c>
    </row>
    <row r="453" customFormat="false" ht="15" hidden="false" customHeight="true" outlineLevel="0" collapsed="false">
      <c r="A453" s="8" t="s">
        <v>343</v>
      </c>
      <c r="B453" s="11" t="n">
        <v>45456</v>
      </c>
      <c r="C453" s="11" t="n">
        <v>45461</v>
      </c>
      <c r="D453" s="8" t="s">
        <v>346</v>
      </c>
      <c r="E453" s="8" t="s">
        <v>34</v>
      </c>
      <c r="F453" s="8" t="s">
        <v>61</v>
      </c>
      <c r="G453" s="8" t="s">
        <v>76</v>
      </c>
      <c r="H453" s="8" t="s">
        <v>45</v>
      </c>
      <c r="I453" s="8" t="s">
        <v>149</v>
      </c>
      <c r="J453" s="8" t="s">
        <v>64</v>
      </c>
      <c r="K453" s="8" t="n">
        <v>3</v>
      </c>
      <c r="L453" s="12" t="n">
        <v>444.72</v>
      </c>
      <c r="M453" s="13" t="n">
        <v>0</v>
      </c>
      <c r="N453" s="12" t="n">
        <v>1334.16</v>
      </c>
      <c r="O453" s="12" t="n">
        <v>426.7</v>
      </c>
      <c r="P453" s="8" t="str">
        <f aca="false">TEXT(B453,"mmm-yyyy")</f>
        <v>Jun-2024</v>
      </c>
      <c r="Q453" s="14" t="n">
        <f aca="false">IFERROR(O453/N453,"")</f>
        <v>0.319826707441386</v>
      </c>
      <c r="R453" s="8" t="str">
        <f aca="false">IF(OR(N453&gt;$U$3,N453&lt;$U$2),"Sales Outlier",IF(OR(O453&gt;$U$6,O453&lt;$U$4),"Profit Outlier",""))</f>
        <v/>
      </c>
    </row>
    <row r="454" customFormat="false" ht="15" hidden="false" customHeight="true" outlineLevel="0" collapsed="false">
      <c r="A454" s="8" t="s">
        <v>543</v>
      </c>
      <c r="B454" s="11" t="n">
        <v>45458</v>
      </c>
      <c r="C454" s="11" t="n">
        <v>45462</v>
      </c>
      <c r="D454" s="8" t="s">
        <v>546</v>
      </c>
      <c r="E454" s="8" t="s">
        <v>34</v>
      </c>
      <c r="F454" s="8" t="s">
        <v>154</v>
      </c>
      <c r="G454" s="8" t="s">
        <v>119</v>
      </c>
      <c r="H454" s="8" t="s">
        <v>77</v>
      </c>
      <c r="I454" s="8" t="s">
        <v>121</v>
      </c>
      <c r="J454" s="8" t="s">
        <v>47</v>
      </c>
      <c r="K454" s="8" t="n">
        <v>3</v>
      </c>
      <c r="L454" s="12" t="n">
        <v>637.83</v>
      </c>
      <c r="M454" s="13" t="n">
        <v>0.15</v>
      </c>
      <c r="N454" s="12" t="n">
        <v>1626.47</v>
      </c>
      <c r="O454" s="12" t="n">
        <v>258.37</v>
      </c>
      <c r="P454" s="8" t="str">
        <f aca="false">TEXT(B454,"mmm-yyyy")</f>
        <v>Jun-2024</v>
      </c>
      <c r="Q454" s="14" t="n">
        <f aca="false">IFERROR(O454/N454,"")</f>
        <v>0.158853222008399</v>
      </c>
      <c r="R454" s="8" t="str">
        <f aca="false">IF(OR(N454&gt;$U$3,N454&lt;$U$2),"Sales Outlier",IF(OR(O454&gt;$U$6,O454&lt;$U$4),"Profit Outlier",""))</f>
        <v/>
      </c>
    </row>
    <row r="455" customFormat="false" ht="15" hidden="false" customHeight="true" outlineLevel="0" collapsed="false">
      <c r="A455" s="8" t="s">
        <v>1954</v>
      </c>
      <c r="B455" s="11" t="n">
        <v>45458</v>
      </c>
      <c r="C455" s="11" t="n">
        <v>45463</v>
      </c>
      <c r="D455" s="8" t="s">
        <v>279</v>
      </c>
      <c r="E455" s="8" t="s">
        <v>24</v>
      </c>
      <c r="F455" s="8" t="s">
        <v>126</v>
      </c>
      <c r="G455" s="8" t="s">
        <v>26</v>
      </c>
      <c r="H455" s="8" t="s">
        <v>132</v>
      </c>
      <c r="I455" s="8" t="s">
        <v>133</v>
      </c>
      <c r="J455" s="8" t="s">
        <v>29</v>
      </c>
      <c r="K455" s="8" t="n">
        <v>1</v>
      </c>
      <c r="L455" s="12" t="n">
        <v>314.19</v>
      </c>
      <c r="M455" s="13" t="n">
        <v>0.2</v>
      </c>
      <c r="N455" s="12" t="n">
        <v>251.35</v>
      </c>
      <c r="O455" s="12" t="n">
        <v>87.71</v>
      </c>
      <c r="P455" s="8" t="str">
        <f aca="false">TEXT(B455,"mmm-yyyy")</f>
        <v>Jun-2024</v>
      </c>
      <c r="Q455" s="14" t="n">
        <f aca="false">IFERROR(O455/N455,"")</f>
        <v>0.348955639546449</v>
      </c>
      <c r="R455" s="8" t="str">
        <f aca="false">IF(OR(N455&gt;$U$3,N455&lt;$U$2),"Sales Outlier",IF(OR(O455&gt;$U$6,O455&lt;$U$4),"Profit Outlier",""))</f>
        <v/>
      </c>
    </row>
    <row r="456" customFormat="false" ht="15" hidden="false" customHeight="true" outlineLevel="0" collapsed="false">
      <c r="A456" s="8" t="s">
        <v>1530</v>
      </c>
      <c r="B456" s="11" t="n">
        <v>45458</v>
      </c>
      <c r="C456" s="11" t="n">
        <v>45463</v>
      </c>
      <c r="D456" s="8" t="s">
        <v>1532</v>
      </c>
      <c r="E456" s="8" t="s">
        <v>52</v>
      </c>
      <c r="F456" s="8" t="s">
        <v>126</v>
      </c>
      <c r="G456" s="8" t="s">
        <v>26</v>
      </c>
      <c r="H456" s="8" t="s">
        <v>77</v>
      </c>
      <c r="I456" s="8" t="s">
        <v>425</v>
      </c>
      <c r="J456" s="8" t="s">
        <v>29</v>
      </c>
      <c r="K456" s="8" t="n">
        <v>2</v>
      </c>
      <c r="L456" s="12" t="n">
        <v>497.73</v>
      </c>
      <c r="M456" s="13" t="n">
        <v>0</v>
      </c>
      <c r="N456" s="12" t="n">
        <v>995.46</v>
      </c>
      <c r="O456" s="12" t="n">
        <v>93.66</v>
      </c>
      <c r="P456" s="8" t="str">
        <f aca="false">TEXT(B456,"mmm-yyyy")</f>
        <v>Jun-2024</v>
      </c>
      <c r="Q456" s="14" t="n">
        <f aca="false">IFERROR(O456/N456,"")</f>
        <v>0.0940871556868182</v>
      </c>
      <c r="R456" s="8" t="str">
        <f aca="false">IF(OR(N456&gt;$U$3,N456&lt;$U$2),"Sales Outlier",IF(OR(O456&gt;$U$6,O456&lt;$U$4),"Profit Outlier",""))</f>
        <v/>
      </c>
    </row>
    <row r="457" customFormat="false" ht="15" hidden="false" customHeight="true" outlineLevel="0" collapsed="false">
      <c r="A457" s="8" t="s">
        <v>2108</v>
      </c>
      <c r="B457" s="11" t="n">
        <v>45459</v>
      </c>
      <c r="C457" s="11" t="n">
        <v>45460</v>
      </c>
      <c r="D457" s="8" t="s">
        <v>2141</v>
      </c>
      <c r="E457" s="8" t="s">
        <v>2285</v>
      </c>
      <c r="F457" s="8" t="s">
        <v>154</v>
      </c>
      <c r="G457" s="8" t="s">
        <v>119</v>
      </c>
      <c r="H457" s="8" t="s">
        <v>132</v>
      </c>
      <c r="I457" s="8" t="s">
        <v>133</v>
      </c>
      <c r="J457" s="8" t="s">
        <v>64</v>
      </c>
      <c r="K457" s="8" t="n">
        <v>1</v>
      </c>
      <c r="L457" s="12" t="n">
        <v>187.86</v>
      </c>
      <c r="M457" s="13" t="n">
        <v>0</v>
      </c>
      <c r="N457" s="12" t="n">
        <v>187.86</v>
      </c>
      <c r="O457" s="12" t="n">
        <v>59.5</v>
      </c>
      <c r="P457" s="8" t="str">
        <f aca="false">TEXT(B457,"mmm-yyyy")</f>
        <v>Jun-2024</v>
      </c>
      <c r="Q457" s="14" t="n">
        <f aca="false">IFERROR(O457/N457,"")</f>
        <v>0.316725220909188</v>
      </c>
      <c r="R457" s="8" t="str">
        <f aca="false">IF(OR(N457&gt;$U$3,N457&lt;$U$2),"Sales Outlier",IF(OR(O457&gt;$U$6,O457&lt;$U$4),"Profit Outlier",""))</f>
        <v/>
      </c>
    </row>
    <row r="458" customFormat="false" ht="15" hidden="false" customHeight="true" outlineLevel="0" collapsed="false">
      <c r="A458" s="8" t="s">
        <v>1829</v>
      </c>
      <c r="B458" s="11" t="n">
        <v>45460</v>
      </c>
      <c r="C458" s="11" t="n">
        <v>45462</v>
      </c>
      <c r="D458" s="8" t="s">
        <v>1192</v>
      </c>
      <c r="E458" s="8" t="s">
        <v>24</v>
      </c>
      <c r="F458" s="8" t="s">
        <v>126</v>
      </c>
      <c r="G458" s="8" t="s">
        <v>82</v>
      </c>
      <c r="H458" s="8" t="s">
        <v>45</v>
      </c>
      <c r="I458" s="8" t="s">
        <v>46</v>
      </c>
      <c r="J458" s="8" t="s">
        <v>64</v>
      </c>
      <c r="K458" s="8" t="n">
        <v>3</v>
      </c>
      <c r="L458" s="12" t="n">
        <v>98.74</v>
      </c>
      <c r="M458" s="13" t="n">
        <v>0.05</v>
      </c>
      <c r="N458" s="12" t="n">
        <v>281.41</v>
      </c>
      <c r="O458" s="12" t="n">
        <v>95.7</v>
      </c>
      <c r="P458" s="8" t="str">
        <f aca="false">TEXT(B458,"mmm-yyyy")</f>
        <v>Jun-2024</v>
      </c>
      <c r="Q458" s="14" t="n">
        <f aca="false">IFERROR(O458/N458,"")</f>
        <v>0.340073202800185</v>
      </c>
      <c r="R458" s="8" t="str">
        <f aca="false">IF(OR(N458&gt;$U$3,N458&lt;$U$2),"Sales Outlier",IF(OR(O458&gt;$U$6,O458&lt;$U$4),"Profit Outlier",""))</f>
        <v/>
      </c>
    </row>
    <row r="459" customFormat="false" ht="15" hidden="false" customHeight="true" outlineLevel="0" collapsed="false">
      <c r="A459" s="8" t="s">
        <v>1279</v>
      </c>
      <c r="B459" s="11" t="n">
        <v>45460</v>
      </c>
      <c r="C459" s="11" t="n">
        <v>45466</v>
      </c>
      <c r="D459" s="8" t="s">
        <v>1281</v>
      </c>
      <c r="E459" s="8" t="s">
        <v>2285</v>
      </c>
      <c r="F459" s="8" t="s">
        <v>154</v>
      </c>
      <c r="G459" s="8" t="s">
        <v>102</v>
      </c>
      <c r="H459" s="8" t="s">
        <v>37</v>
      </c>
      <c r="I459" s="8" t="s">
        <v>404</v>
      </c>
      <c r="J459" s="8" t="s">
        <v>47</v>
      </c>
      <c r="K459" s="8" t="n">
        <v>2</v>
      </c>
      <c r="L459" s="12" t="n">
        <v>109.92</v>
      </c>
      <c r="M459" s="13" t="n">
        <v>0.15</v>
      </c>
      <c r="N459" s="12" t="n">
        <v>186.86</v>
      </c>
      <c r="O459" s="12" t="n">
        <v>57.81</v>
      </c>
      <c r="P459" s="8" t="str">
        <f aca="false">TEXT(B459,"mmm-yyyy")</f>
        <v>Jun-2024</v>
      </c>
      <c r="Q459" s="14" t="n">
        <f aca="false">IFERROR(O459/N459,"")</f>
        <v>0.309376003425024</v>
      </c>
      <c r="R459" s="8" t="str">
        <f aca="false">IF(OR(N459&gt;$U$3,N459&lt;$U$2),"Sales Outlier",IF(OR(O459&gt;$U$6,O459&lt;$U$4),"Profit Outlier",""))</f>
        <v/>
      </c>
    </row>
    <row r="460" customFormat="false" ht="15" hidden="false" customHeight="true" outlineLevel="0" collapsed="false">
      <c r="A460" s="8" t="s">
        <v>335</v>
      </c>
      <c r="B460" s="11" t="n">
        <v>45462</v>
      </c>
      <c r="C460" s="11" t="n">
        <v>45468</v>
      </c>
      <c r="D460" s="8" t="s">
        <v>1610</v>
      </c>
      <c r="E460" s="8" t="s">
        <v>2285</v>
      </c>
      <c r="F460" s="8" t="s">
        <v>154</v>
      </c>
      <c r="G460" s="8" t="s">
        <v>102</v>
      </c>
      <c r="H460" s="8" t="s">
        <v>132</v>
      </c>
      <c r="I460" s="8" t="s">
        <v>56</v>
      </c>
      <c r="J460" s="8" t="s">
        <v>64</v>
      </c>
      <c r="K460" s="8" t="n">
        <v>5</v>
      </c>
      <c r="L460" s="12" t="n">
        <v>741.7</v>
      </c>
      <c r="M460" s="13" t="n">
        <v>0.15</v>
      </c>
      <c r="N460" s="12" t="n">
        <v>3152.22</v>
      </c>
      <c r="O460" s="12" t="n">
        <v>735.19</v>
      </c>
      <c r="P460" s="8" t="str">
        <f aca="false">TEXT(B460,"mmm-yyyy")</f>
        <v>Jun-2024</v>
      </c>
      <c r="Q460" s="14" t="n">
        <f aca="false">IFERROR(O460/N460,"")</f>
        <v>0.233229279682256</v>
      </c>
      <c r="R460" s="8" t="str">
        <f aca="false">IF(OR(N460&gt;$U$3,N460&lt;$U$2),"Sales Outlier",IF(OR(O460&gt;$U$6,O460&lt;$U$4),"Profit Outlier",""))</f>
        <v/>
      </c>
    </row>
    <row r="461" customFormat="false" ht="15" hidden="false" customHeight="true" outlineLevel="0" collapsed="false">
      <c r="A461" s="8" t="s">
        <v>122</v>
      </c>
      <c r="B461" s="11" t="n">
        <v>45462</v>
      </c>
      <c r="C461" s="11" t="n">
        <v>45469</v>
      </c>
      <c r="D461" s="8" t="s">
        <v>125</v>
      </c>
      <c r="E461" s="8" t="s">
        <v>24</v>
      </c>
      <c r="F461" s="8" t="s">
        <v>126</v>
      </c>
      <c r="G461" s="8" t="s">
        <v>89</v>
      </c>
      <c r="H461" s="8" t="s">
        <v>77</v>
      </c>
      <c r="I461" s="8" t="s">
        <v>127</v>
      </c>
      <c r="J461" s="8" t="s">
        <v>39</v>
      </c>
      <c r="K461" s="8" t="n">
        <v>4</v>
      </c>
      <c r="L461" s="12" t="n">
        <v>994.68</v>
      </c>
      <c r="M461" s="13" t="n">
        <v>0.15</v>
      </c>
      <c r="N461" s="12" t="n">
        <v>3381.91</v>
      </c>
      <c r="O461" s="12" t="n">
        <v>325.15</v>
      </c>
      <c r="P461" s="8" t="str">
        <f aca="false">TEXT(B461,"mmm-yyyy")</f>
        <v>Jun-2024</v>
      </c>
      <c r="Q461" s="14" t="n">
        <f aca="false">IFERROR(O461/N461,"")</f>
        <v>0.0961438950179041</v>
      </c>
      <c r="R461" s="8" t="str">
        <f aca="false">IF(OR(N461&gt;$U$3,N461&lt;$U$2),"Sales Outlier",IF(OR(O461&gt;$U$6,O461&lt;$U$4),"Profit Outlier",""))</f>
        <v/>
      </c>
    </row>
    <row r="462" customFormat="false" ht="15" hidden="false" customHeight="true" outlineLevel="0" collapsed="false">
      <c r="A462" s="8" t="s">
        <v>1802</v>
      </c>
      <c r="B462" s="11" t="n">
        <v>45464</v>
      </c>
      <c r="C462" s="11" t="n">
        <v>45469</v>
      </c>
      <c r="D462" s="8" t="s">
        <v>68</v>
      </c>
      <c r="E462" s="8" t="s">
        <v>24</v>
      </c>
      <c r="F462" s="8" t="s">
        <v>154</v>
      </c>
      <c r="G462" s="8" t="s">
        <v>119</v>
      </c>
      <c r="H462" s="8" t="s">
        <v>37</v>
      </c>
      <c r="I462" s="8" t="s">
        <v>404</v>
      </c>
      <c r="J462" s="8" t="s">
        <v>47</v>
      </c>
      <c r="K462" s="8" t="n">
        <v>4</v>
      </c>
      <c r="L462" s="12" t="n">
        <v>62.7</v>
      </c>
      <c r="M462" s="13" t="n">
        <v>0.2</v>
      </c>
      <c r="N462" s="12" t="n">
        <v>200.64</v>
      </c>
      <c r="O462" s="12" t="n">
        <v>-16.28</v>
      </c>
      <c r="P462" s="8" t="str">
        <f aca="false">TEXT(B462,"mmm-yyyy")</f>
        <v>Jun-2024</v>
      </c>
      <c r="Q462" s="14" t="n">
        <f aca="false">IFERROR(O462/N462,"")</f>
        <v>-0.081140350877193</v>
      </c>
      <c r="R462" s="8" t="str">
        <f aca="false">IF(OR(N462&gt;$U$3,N462&lt;$U$2),"Sales Outlier",IF(OR(O462&gt;$U$6,O462&lt;$U$4),"Profit Outlier",""))</f>
        <v/>
      </c>
    </row>
    <row r="463" customFormat="false" ht="15" hidden="false" customHeight="true" outlineLevel="0" collapsed="false">
      <c r="A463" s="8" t="s">
        <v>1330</v>
      </c>
      <c r="B463" s="11" t="n">
        <v>45464</v>
      </c>
      <c r="C463" s="11" t="n">
        <v>45466</v>
      </c>
      <c r="D463" s="8" t="s">
        <v>137</v>
      </c>
      <c r="E463" s="8" t="s">
        <v>34</v>
      </c>
      <c r="F463" s="8" t="s">
        <v>126</v>
      </c>
      <c r="G463" s="8" t="s">
        <v>26</v>
      </c>
      <c r="H463" s="8" t="s">
        <v>114</v>
      </c>
      <c r="I463" s="8" t="s">
        <v>96</v>
      </c>
      <c r="J463" s="8" t="s">
        <v>64</v>
      </c>
      <c r="K463" s="8" t="n">
        <v>3</v>
      </c>
      <c r="L463" s="12" t="n">
        <v>398.4</v>
      </c>
      <c r="M463" s="13" t="n">
        <v>0.15</v>
      </c>
      <c r="N463" s="12" t="n">
        <v>1015.92</v>
      </c>
      <c r="O463" s="12" t="n">
        <v>229.43</v>
      </c>
      <c r="P463" s="8" t="str">
        <f aca="false">TEXT(B463,"mmm-yyyy")</f>
        <v>Jun-2024</v>
      </c>
      <c r="Q463" s="14" t="n">
        <f aca="false">IFERROR(O463/N463,"")</f>
        <v>0.225834711394598</v>
      </c>
      <c r="R463" s="8" t="str">
        <f aca="false">IF(OR(N463&gt;$U$3,N463&lt;$U$2),"Sales Outlier",IF(OR(O463&gt;$U$6,O463&lt;$U$4),"Profit Outlier",""))</f>
        <v/>
      </c>
    </row>
    <row r="464" customFormat="false" ht="15" hidden="false" customHeight="true" outlineLevel="0" collapsed="false">
      <c r="A464" s="8" t="s">
        <v>705</v>
      </c>
      <c r="B464" s="11" t="n">
        <v>45464</v>
      </c>
      <c r="C464" s="11" t="n">
        <v>45466</v>
      </c>
      <c r="D464" s="8" t="s">
        <v>708</v>
      </c>
      <c r="E464" s="8" t="s">
        <v>34</v>
      </c>
      <c r="F464" s="8" t="s">
        <v>126</v>
      </c>
      <c r="G464" s="8" t="s">
        <v>82</v>
      </c>
      <c r="H464" s="8" t="s">
        <v>132</v>
      </c>
      <c r="I464" s="8" t="s">
        <v>63</v>
      </c>
      <c r="J464" s="8" t="s">
        <v>64</v>
      </c>
      <c r="K464" s="8" t="n">
        <v>5</v>
      </c>
      <c r="L464" s="12" t="n">
        <v>916.19</v>
      </c>
      <c r="M464" s="13" t="n">
        <v>0</v>
      </c>
      <c r="N464" s="12" t="n">
        <v>4580.95</v>
      </c>
      <c r="O464" s="12" t="n">
        <v>993.15</v>
      </c>
      <c r="P464" s="8" t="str">
        <f aca="false">TEXT(B464,"mmm-yyyy")</f>
        <v>Jun-2024</v>
      </c>
      <c r="Q464" s="14" t="n">
        <f aca="false">IFERROR(O464/N464,"")</f>
        <v>0.216800008731813</v>
      </c>
      <c r="R464" s="8" t="str">
        <f aca="false">IF(OR(N464&gt;$U$3,N464&lt;$U$2),"Sales Outlier",IF(OR(O464&gt;$U$6,O464&lt;$U$4),"Profit Outlier",""))</f>
        <v/>
      </c>
    </row>
    <row r="465" customFormat="false" ht="15" hidden="false" customHeight="true" outlineLevel="0" collapsed="false">
      <c r="A465" s="8" t="s">
        <v>754</v>
      </c>
      <c r="B465" s="11" t="n">
        <v>45466</v>
      </c>
      <c r="C465" s="11" t="n">
        <v>45469</v>
      </c>
      <c r="D465" s="8" t="s">
        <v>1719</v>
      </c>
      <c r="E465" s="8" t="s">
        <v>2285</v>
      </c>
      <c r="F465" s="8" t="s">
        <v>154</v>
      </c>
      <c r="G465" s="8" t="s">
        <v>182</v>
      </c>
      <c r="H465" s="8" t="s">
        <v>132</v>
      </c>
      <c r="I465" s="8" t="s">
        <v>133</v>
      </c>
      <c r="J465" s="8" t="s">
        <v>64</v>
      </c>
      <c r="K465" s="8" t="n">
        <v>2</v>
      </c>
      <c r="L465" s="12" t="n">
        <v>292.96</v>
      </c>
      <c r="M465" s="13" t="n">
        <v>0.2</v>
      </c>
      <c r="N465" s="12" t="n">
        <v>468.74</v>
      </c>
      <c r="O465" s="12" t="n">
        <v>4.43</v>
      </c>
      <c r="P465" s="8" t="str">
        <f aca="false">TEXT(B465,"mmm-yyyy")</f>
        <v>Jun-2024</v>
      </c>
      <c r="Q465" s="14" t="n">
        <f aca="false">IFERROR(O465/N465,"")</f>
        <v>0.00945086828519008</v>
      </c>
      <c r="R465" s="8" t="str">
        <f aca="false">IF(OR(N465&gt;$U$3,N465&lt;$U$2),"Sales Outlier",IF(OR(O465&gt;$U$6,O465&lt;$U$4),"Profit Outlier",""))</f>
        <v/>
      </c>
    </row>
    <row r="466" customFormat="false" ht="15" hidden="false" customHeight="true" outlineLevel="0" collapsed="false">
      <c r="A466" s="8" t="s">
        <v>1840</v>
      </c>
      <c r="B466" s="11" t="n">
        <v>45471</v>
      </c>
      <c r="C466" s="11" t="n">
        <v>45475</v>
      </c>
      <c r="D466" s="8" t="s">
        <v>1843</v>
      </c>
      <c r="E466" s="8" t="s">
        <v>2285</v>
      </c>
      <c r="F466" s="8" t="s">
        <v>147</v>
      </c>
      <c r="G466" s="8" t="s">
        <v>326</v>
      </c>
      <c r="H466" s="8" t="s">
        <v>114</v>
      </c>
      <c r="I466" s="8" t="s">
        <v>201</v>
      </c>
      <c r="J466" s="8" t="s">
        <v>47</v>
      </c>
      <c r="K466" s="8" t="n">
        <v>1</v>
      </c>
      <c r="L466" s="12" t="n">
        <v>125.96</v>
      </c>
      <c r="M466" s="13" t="n">
        <v>0.05</v>
      </c>
      <c r="N466" s="12" t="n">
        <v>119.66</v>
      </c>
      <c r="O466" s="12" t="n">
        <v>-6.28</v>
      </c>
      <c r="P466" s="8" t="str">
        <f aca="false">TEXT(B466,"mmm-yyyy")</f>
        <v>Jun-2024</v>
      </c>
      <c r="Q466" s="14" t="n">
        <f aca="false">IFERROR(O466/N466,"")</f>
        <v>-0.0524820324252048</v>
      </c>
      <c r="R466" s="8" t="str">
        <f aca="false">IF(OR(N466&gt;$U$3,N466&lt;$U$2),"Sales Outlier",IF(OR(O466&gt;$U$6,O466&lt;$U$4),"Profit Outlier",""))</f>
        <v/>
      </c>
    </row>
    <row r="467" customFormat="false" ht="15" hidden="false" customHeight="true" outlineLevel="0" collapsed="false">
      <c r="A467" s="8" t="s">
        <v>1473</v>
      </c>
      <c r="B467" s="11" t="n">
        <v>45472</v>
      </c>
      <c r="C467" s="11" t="n">
        <v>45474</v>
      </c>
      <c r="D467" s="8" t="s">
        <v>1476</v>
      </c>
      <c r="E467" s="8" t="s">
        <v>2285</v>
      </c>
      <c r="F467" s="8" t="s">
        <v>154</v>
      </c>
      <c r="G467" s="8" t="s">
        <v>119</v>
      </c>
      <c r="H467" s="8" t="s">
        <v>77</v>
      </c>
      <c r="I467" s="8" t="s">
        <v>425</v>
      </c>
      <c r="J467" s="8" t="s">
        <v>47</v>
      </c>
      <c r="K467" s="8" t="n">
        <v>2</v>
      </c>
      <c r="L467" s="12" t="n">
        <v>365.13</v>
      </c>
      <c r="M467" s="13" t="n">
        <v>0</v>
      </c>
      <c r="N467" s="12" t="n">
        <v>365.13</v>
      </c>
      <c r="O467" s="12" t="n">
        <v>10.94</v>
      </c>
      <c r="P467" s="8" t="str">
        <f aca="false">TEXT(B467,"mmm-yyyy")</f>
        <v>Jun-2024</v>
      </c>
      <c r="Q467" s="14" t="n">
        <f aca="false">IFERROR(O467/N467,"")</f>
        <v>0.0299619313669104</v>
      </c>
      <c r="R467" s="8" t="str">
        <f aca="false">IF(OR(N467&gt;$U$3,N467&lt;$U$2),"Sales Outlier",IF(OR(O467&gt;$U$6,O467&lt;$U$4),"Profit Outlier",""))</f>
        <v/>
      </c>
    </row>
    <row r="468" customFormat="false" ht="15" hidden="false" customHeight="true" outlineLevel="0" collapsed="false">
      <c r="A468" s="8" t="s">
        <v>2090</v>
      </c>
      <c r="B468" s="11" t="n">
        <v>45472</v>
      </c>
      <c r="C468" s="11" t="n">
        <v>45478</v>
      </c>
      <c r="D468" s="8" t="s">
        <v>952</v>
      </c>
      <c r="E468" s="8" t="s">
        <v>2285</v>
      </c>
      <c r="F468" s="8" t="s">
        <v>154</v>
      </c>
      <c r="G468" s="8" t="s">
        <v>102</v>
      </c>
      <c r="H468" s="8" t="s">
        <v>77</v>
      </c>
      <c r="I468" s="8" t="s">
        <v>121</v>
      </c>
      <c r="J468" s="8" t="s">
        <v>29</v>
      </c>
      <c r="K468" s="8" t="n">
        <v>2</v>
      </c>
      <c r="L468" s="12" t="n">
        <v>384.41</v>
      </c>
      <c r="M468" s="13" t="n">
        <v>0.2</v>
      </c>
      <c r="N468" s="12" t="n">
        <v>615.06</v>
      </c>
      <c r="O468" s="12" t="n">
        <v>22.45</v>
      </c>
      <c r="P468" s="8" t="str">
        <f aca="false">TEXT(B468,"mmm-yyyy")</f>
        <v>Jun-2024</v>
      </c>
      <c r="Q468" s="14" t="n">
        <f aca="false">IFERROR(O468/N468,"")</f>
        <v>0.0365005040158684</v>
      </c>
      <c r="R468" s="8" t="str">
        <f aca="false">IF(OR(N468&gt;$U$3,N468&lt;$U$2),"Sales Outlier",IF(OR(O468&gt;$U$6,O468&lt;$U$4),"Profit Outlier",""))</f>
        <v/>
      </c>
    </row>
    <row r="469" customFormat="false" ht="15" hidden="false" customHeight="true" outlineLevel="0" collapsed="false">
      <c r="A469" s="8" t="s">
        <v>679</v>
      </c>
      <c r="B469" s="11" t="n">
        <v>45472</v>
      </c>
      <c r="C469" s="11" t="n">
        <v>45474</v>
      </c>
      <c r="D469" s="8" t="s">
        <v>681</v>
      </c>
      <c r="E469" s="8" t="s">
        <v>34</v>
      </c>
      <c r="F469" s="8" t="s">
        <v>126</v>
      </c>
      <c r="G469" s="8" t="s">
        <v>26</v>
      </c>
      <c r="H469" s="8" t="s">
        <v>37</v>
      </c>
      <c r="I469" s="8" t="s">
        <v>527</v>
      </c>
      <c r="J469" s="8" t="s">
        <v>29</v>
      </c>
      <c r="K469" s="8" t="n">
        <v>2</v>
      </c>
      <c r="L469" s="12" t="n">
        <v>858.72</v>
      </c>
      <c r="M469" s="13" t="n">
        <v>0</v>
      </c>
      <c r="N469" s="12" t="n">
        <v>1717.44</v>
      </c>
      <c r="O469" s="12" t="n">
        <v>361.79</v>
      </c>
      <c r="P469" s="8" t="str">
        <f aca="false">TEXT(B469,"mmm-yyyy")</f>
        <v>Jun-2024</v>
      </c>
      <c r="Q469" s="14" t="n">
        <f aca="false">IFERROR(O469/N469,"")</f>
        <v>0.210656558598845</v>
      </c>
      <c r="R469" s="8" t="str">
        <f aca="false">IF(OR(N469&gt;$U$3,N469&lt;$U$2),"Sales Outlier",IF(OR(O469&gt;$U$6,O469&lt;$U$4),"Profit Outlier",""))</f>
        <v/>
      </c>
    </row>
    <row r="470" customFormat="false" ht="15" hidden="false" customHeight="true" outlineLevel="0" collapsed="false">
      <c r="A470" s="8" t="s">
        <v>1175</v>
      </c>
      <c r="B470" s="11" t="n">
        <v>45473</v>
      </c>
      <c r="C470" s="11" t="n">
        <v>45476</v>
      </c>
      <c r="D470" s="8" t="s">
        <v>205</v>
      </c>
      <c r="E470" s="8" t="s">
        <v>24</v>
      </c>
      <c r="F470" s="8" t="s">
        <v>126</v>
      </c>
      <c r="G470" s="8" t="s">
        <v>82</v>
      </c>
      <c r="H470" s="8" t="s">
        <v>45</v>
      </c>
      <c r="I470" s="8" t="s">
        <v>160</v>
      </c>
      <c r="J470" s="8" t="s">
        <v>29</v>
      </c>
      <c r="K470" s="8" t="n">
        <v>5</v>
      </c>
      <c r="L470" s="12" t="n">
        <v>810.72</v>
      </c>
      <c r="M470" s="13" t="n">
        <v>0</v>
      </c>
      <c r="N470" s="12" t="n">
        <v>4053.6</v>
      </c>
      <c r="O470" s="12" t="n">
        <v>817.26</v>
      </c>
      <c r="P470" s="8" t="str">
        <f aca="false">TEXT(B470,"mmm-yyyy")</f>
        <v>Jun-2024</v>
      </c>
      <c r="Q470" s="14" t="n">
        <f aca="false">IFERROR(O470/N470,"")</f>
        <v>0.201613380698638</v>
      </c>
      <c r="R470" s="8" t="str">
        <f aca="false">IF(OR(N470&gt;$U$3,N470&lt;$U$2),"Sales Outlier",IF(OR(O470&gt;$U$6,O470&lt;$U$4),"Profit Outlier",""))</f>
        <v/>
      </c>
    </row>
    <row r="471" customFormat="false" ht="15" hidden="false" customHeight="true" outlineLevel="0" collapsed="false">
      <c r="A471" s="8" t="s">
        <v>161</v>
      </c>
      <c r="B471" s="11" t="n">
        <v>45473</v>
      </c>
      <c r="C471" s="11" t="n">
        <v>45474</v>
      </c>
      <c r="D471" s="8" t="s">
        <v>164</v>
      </c>
      <c r="E471" s="8" t="s">
        <v>2285</v>
      </c>
      <c r="F471" s="8" t="s">
        <v>61</v>
      </c>
      <c r="G471" s="8" t="s">
        <v>76</v>
      </c>
      <c r="H471" s="8" t="s">
        <v>37</v>
      </c>
      <c r="I471" s="8" t="s">
        <v>38</v>
      </c>
      <c r="J471" s="8" t="s">
        <v>47</v>
      </c>
      <c r="K471" s="8" t="n">
        <v>2</v>
      </c>
      <c r="L471" s="12" t="n">
        <v>856.91</v>
      </c>
      <c r="M471" s="13" t="n">
        <v>0</v>
      </c>
      <c r="N471" s="12" t="n">
        <v>1713.82</v>
      </c>
      <c r="O471" s="12" t="n">
        <v>179.97</v>
      </c>
      <c r="P471" s="8" t="str">
        <f aca="false">TEXT(B471,"mmm-yyyy")</f>
        <v>Jun-2024</v>
      </c>
      <c r="Q471" s="14" t="n">
        <f aca="false">IFERROR(O471/N471,"")</f>
        <v>0.105011027995939</v>
      </c>
      <c r="R471" s="8" t="str">
        <f aca="false">IF(OR(N471&gt;$U$3,N471&lt;$U$2),"Sales Outlier",IF(OR(O471&gt;$U$6,O471&lt;$U$4),"Profit Outlier",""))</f>
        <v/>
      </c>
    </row>
    <row r="472" customFormat="false" ht="15" hidden="false" customHeight="true" outlineLevel="0" collapsed="false">
      <c r="A472" s="8" t="s">
        <v>1036</v>
      </c>
      <c r="B472" s="11" t="n">
        <v>45474</v>
      </c>
      <c r="C472" s="11" t="n">
        <v>45481</v>
      </c>
      <c r="D472" s="8" t="s">
        <v>2282</v>
      </c>
      <c r="E472" s="8" t="s">
        <v>2285</v>
      </c>
      <c r="F472" s="8" t="s">
        <v>126</v>
      </c>
      <c r="G472" s="8" t="s">
        <v>89</v>
      </c>
      <c r="H472" s="8" t="s">
        <v>132</v>
      </c>
      <c r="I472" s="8" t="s">
        <v>241</v>
      </c>
      <c r="J472" s="8" t="s">
        <v>47</v>
      </c>
      <c r="K472" s="8" t="n">
        <v>3</v>
      </c>
      <c r="L472" s="12" t="n">
        <v>737.58</v>
      </c>
      <c r="M472" s="13" t="n">
        <v>0.1</v>
      </c>
      <c r="N472" s="12" t="n">
        <v>1991.47</v>
      </c>
      <c r="O472" s="12" t="n">
        <v>612.82</v>
      </c>
      <c r="P472" s="8" t="str">
        <f aca="false">TEXT(B472,"mmm-yyyy")</f>
        <v>Jul-2024</v>
      </c>
      <c r="Q472" s="14" t="n">
        <f aca="false">IFERROR(O472/N472,"")</f>
        <v>0.307722436190352</v>
      </c>
      <c r="R472" s="8" t="str">
        <f aca="false">IF(OR(N472&gt;$U$3,N472&lt;$U$2),"Sales Outlier",IF(OR(O472&gt;$U$6,O472&lt;$U$4),"Profit Outlier",""))</f>
        <v/>
      </c>
    </row>
    <row r="473" customFormat="false" ht="15" hidden="false" customHeight="true" outlineLevel="0" collapsed="false">
      <c r="A473" s="8" t="s">
        <v>1343</v>
      </c>
      <c r="B473" s="11" t="n">
        <v>45476</v>
      </c>
      <c r="C473" s="11" t="n">
        <v>45481</v>
      </c>
      <c r="D473" s="8" t="s">
        <v>2282</v>
      </c>
      <c r="E473" s="8" t="s">
        <v>34</v>
      </c>
      <c r="F473" s="8" t="s">
        <v>147</v>
      </c>
      <c r="G473" s="8" t="s">
        <v>326</v>
      </c>
      <c r="H473" s="8" t="s">
        <v>45</v>
      </c>
      <c r="I473" s="8" t="s">
        <v>28</v>
      </c>
      <c r="J473" s="8" t="s">
        <v>29</v>
      </c>
      <c r="K473" s="8" t="n">
        <v>2</v>
      </c>
      <c r="L473" s="12" t="n">
        <v>498.61</v>
      </c>
      <c r="M473" s="13" t="n">
        <v>0</v>
      </c>
      <c r="N473" s="12" t="n">
        <v>997.22</v>
      </c>
      <c r="O473" s="12" t="n">
        <v>12.43</v>
      </c>
      <c r="P473" s="8" t="str">
        <f aca="false">TEXT(B473,"mmm-yyyy")</f>
        <v>Jul-2024</v>
      </c>
      <c r="Q473" s="14" t="n">
        <f aca="false">IFERROR(O473/N473,"")</f>
        <v>0.0124646517318144</v>
      </c>
      <c r="R473" s="8" t="str">
        <f aca="false">IF(OR(N473&gt;$U$3,N473&lt;$U$2),"Sales Outlier",IF(OR(O473&gt;$U$6,O473&lt;$U$4),"Profit Outlier",""))</f>
        <v/>
      </c>
    </row>
    <row r="474" customFormat="false" ht="15" hidden="false" customHeight="true" outlineLevel="0" collapsed="false">
      <c r="A474" s="8" t="s">
        <v>1356</v>
      </c>
      <c r="B474" s="11" t="n">
        <v>45477</v>
      </c>
      <c r="C474" s="11" t="n">
        <v>45484</v>
      </c>
      <c r="D474" s="8" t="s">
        <v>868</v>
      </c>
      <c r="E474" s="8" t="s">
        <v>24</v>
      </c>
      <c r="F474" s="8" t="s">
        <v>147</v>
      </c>
      <c r="G474" s="8" t="s">
        <v>54</v>
      </c>
      <c r="H474" s="8" t="s">
        <v>114</v>
      </c>
      <c r="I474" s="8" t="s">
        <v>109</v>
      </c>
      <c r="J474" s="8" t="s">
        <v>64</v>
      </c>
      <c r="K474" s="8" t="n">
        <v>5</v>
      </c>
      <c r="L474" s="12" t="n">
        <v>1003.62</v>
      </c>
      <c r="M474" s="13" t="n">
        <v>0.05</v>
      </c>
      <c r="N474" s="12" t="n">
        <v>4767.19</v>
      </c>
      <c r="O474" s="12" t="n">
        <v>508.43</v>
      </c>
      <c r="P474" s="8" t="str">
        <f aca="false">TEXT(B474,"mmm-yyyy")</f>
        <v>Jul-2024</v>
      </c>
      <c r="Q474" s="14" t="n">
        <f aca="false">IFERROR(O474/N474,"")</f>
        <v>0.106651927026194</v>
      </c>
      <c r="R474" s="8" t="str">
        <f aca="false">IF(OR(N474&gt;$U$3,N474&lt;$U$2),"Sales Outlier",IF(OR(O474&gt;$U$6,O474&lt;$U$4),"Profit Outlier",""))</f>
        <v/>
      </c>
    </row>
    <row r="475" customFormat="false" ht="15" hidden="false" customHeight="true" outlineLevel="0" collapsed="false">
      <c r="A475" s="8" t="s">
        <v>972</v>
      </c>
      <c r="B475" s="11" t="n">
        <v>45479</v>
      </c>
      <c r="C475" s="11" t="n">
        <v>45484</v>
      </c>
      <c r="D475" s="8" t="s">
        <v>60</v>
      </c>
      <c r="E475" s="8" t="s">
        <v>34</v>
      </c>
      <c r="F475" s="8" t="s">
        <v>61</v>
      </c>
      <c r="G475" s="8" t="s">
        <v>36</v>
      </c>
      <c r="H475" s="8" t="s">
        <v>45</v>
      </c>
      <c r="I475" s="8" t="s">
        <v>149</v>
      </c>
      <c r="J475" s="8" t="s">
        <v>64</v>
      </c>
      <c r="K475" s="8" t="n">
        <v>2</v>
      </c>
      <c r="L475" s="12" t="n">
        <v>32.99</v>
      </c>
      <c r="M475" s="13" t="n">
        <v>0</v>
      </c>
      <c r="N475" s="12" t="n">
        <v>65.98</v>
      </c>
      <c r="O475" s="12" t="n">
        <v>-4.82</v>
      </c>
      <c r="P475" s="8" t="str">
        <f aca="false">TEXT(B475,"mmm-yyyy")</f>
        <v>Jul-2024</v>
      </c>
      <c r="Q475" s="14" t="n">
        <f aca="false">IFERROR(O475/N475,"")</f>
        <v>-0.0730524401333738</v>
      </c>
      <c r="R475" s="8" t="str">
        <f aca="false">IF(OR(N475&gt;$U$3,N475&lt;$U$2),"Sales Outlier",IF(OR(O475&gt;$U$6,O475&lt;$U$4),"Profit Outlier",""))</f>
        <v/>
      </c>
    </row>
    <row r="476" customFormat="false" ht="15" hidden="false" customHeight="true" outlineLevel="0" collapsed="false">
      <c r="A476" s="8" t="s">
        <v>1388</v>
      </c>
      <c r="B476" s="11" t="n">
        <v>45479</v>
      </c>
      <c r="C476" s="11" t="n">
        <v>45481</v>
      </c>
      <c r="D476" s="8" t="s">
        <v>1389</v>
      </c>
      <c r="E476" s="8" t="s">
        <v>52</v>
      </c>
      <c r="F476" s="8" t="s">
        <v>126</v>
      </c>
      <c r="G476" s="8" t="s">
        <v>82</v>
      </c>
      <c r="H476" s="8" t="s">
        <v>45</v>
      </c>
      <c r="I476" s="8" t="s">
        <v>46</v>
      </c>
      <c r="J476" s="8" t="s">
        <v>47</v>
      </c>
      <c r="K476" s="8" t="n">
        <v>3</v>
      </c>
      <c r="L476" s="12" t="n">
        <v>1091.16</v>
      </c>
      <c r="M476" s="13" t="n">
        <v>0.15</v>
      </c>
      <c r="N476" s="12" t="n">
        <v>2782.46</v>
      </c>
      <c r="O476" s="12" t="n">
        <v>-278.13</v>
      </c>
      <c r="P476" s="8" t="str">
        <f aca="false">TEXT(B476,"mmm-yyyy")</f>
        <v>Jul-2024</v>
      </c>
      <c r="Q476" s="14" t="n">
        <f aca="false">IFERROR(O476/N476,"")</f>
        <v>-0.0999583102722052</v>
      </c>
      <c r="R476" s="8" t="str">
        <f aca="false">IF(OR(N476&gt;$U$3,N476&lt;$U$2),"Sales Outlier",IF(OR(O476&gt;$U$6,O476&lt;$U$4),"Profit Outlier",""))</f>
        <v/>
      </c>
    </row>
    <row r="477" customFormat="false" ht="15" hidden="false" customHeight="true" outlineLevel="0" collapsed="false">
      <c r="A477" s="8" t="s">
        <v>844</v>
      </c>
      <c r="B477" s="11" t="n">
        <v>45480</v>
      </c>
      <c r="C477" s="11" t="n">
        <v>45483</v>
      </c>
      <c r="D477" s="8" t="s">
        <v>2282</v>
      </c>
      <c r="E477" s="8" t="s">
        <v>52</v>
      </c>
      <c r="F477" s="8" t="s">
        <v>61</v>
      </c>
      <c r="G477" s="8" t="s">
        <v>62</v>
      </c>
      <c r="H477" s="8" t="s">
        <v>132</v>
      </c>
      <c r="I477" s="8" t="s">
        <v>133</v>
      </c>
      <c r="J477" s="8" t="s">
        <v>64</v>
      </c>
      <c r="K477" s="8" t="n">
        <v>2</v>
      </c>
      <c r="L477" s="12" t="n">
        <v>280.54</v>
      </c>
      <c r="M477" s="13" t="n">
        <v>0.2</v>
      </c>
      <c r="N477" s="12" t="n">
        <v>224.43</v>
      </c>
      <c r="O477" s="12" t="n">
        <v>16.99</v>
      </c>
      <c r="P477" s="8" t="str">
        <f aca="false">TEXT(B477,"mmm-yyyy")</f>
        <v>Jul-2024</v>
      </c>
      <c r="Q477" s="14" t="n">
        <f aca="false">IFERROR(O477/N477,"")</f>
        <v>0.0757028917702624</v>
      </c>
      <c r="R477" s="8" t="str">
        <f aca="false">IF(OR(N477&gt;$U$3,N477&lt;$U$2),"Sales Outlier",IF(OR(O477&gt;$U$6,O477&lt;$U$4),"Profit Outlier",""))</f>
        <v/>
      </c>
    </row>
    <row r="478" customFormat="false" ht="15" hidden="false" customHeight="true" outlineLevel="0" collapsed="false">
      <c r="A478" s="8" t="s">
        <v>903</v>
      </c>
      <c r="B478" s="11" t="n">
        <v>45480</v>
      </c>
      <c r="C478" s="11"/>
      <c r="D478" s="8" t="s">
        <v>2282</v>
      </c>
      <c r="E478" s="8" t="s">
        <v>34</v>
      </c>
      <c r="F478" s="8" t="s">
        <v>126</v>
      </c>
      <c r="G478" s="8" t="s">
        <v>26</v>
      </c>
      <c r="H478" s="8" t="s">
        <v>77</v>
      </c>
      <c r="I478" s="8" t="s">
        <v>78</v>
      </c>
      <c r="J478" s="8" t="s">
        <v>64</v>
      </c>
      <c r="K478" s="8" t="n">
        <v>3</v>
      </c>
      <c r="L478" s="12" t="n">
        <v>653.21</v>
      </c>
      <c r="M478" s="13" t="n">
        <v>0</v>
      </c>
      <c r="N478" s="12" t="n">
        <v>1959.63</v>
      </c>
      <c r="O478" s="12" t="n">
        <v>580.16</v>
      </c>
      <c r="P478" s="8" t="str">
        <f aca="false">TEXT(B478,"mmm-yyyy")</f>
        <v>Jul-2024</v>
      </c>
      <c r="Q478" s="14" t="n">
        <f aca="false">IFERROR(O478/N478,"")</f>
        <v>0.296055888101325</v>
      </c>
      <c r="R478" s="8" t="str">
        <f aca="false">IF(OR(N478&gt;$U$3,N478&lt;$U$2),"Sales Outlier",IF(OR(O478&gt;$U$6,O478&lt;$U$4),"Profit Outlier",""))</f>
        <v/>
      </c>
    </row>
    <row r="479" customFormat="false" ht="15" hidden="false" customHeight="true" outlineLevel="0" collapsed="false">
      <c r="A479" s="8" t="s">
        <v>570</v>
      </c>
      <c r="B479" s="11" t="n">
        <v>45481</v>
      </c>
      <c r="C479" s="11" t="n">
        <v>45517</v>
      </c>
      <c r="D479" s="8" t="s">
        <v>573</v>
      </c>
      <c r="E479" s="8" t="s">
        <v>24</v>
      </c>
      <c r="F479" s="8" t="s">
        <v>126</v>
      </c>
      <c r="G479" s="8" t="s">
        <v>89</v>
      </c>
      <c r="H479" s="8" t="s">
        <v>132</v>
      </c>
      <c r="I479" s="8" t="s">
        <v>241</v>
      </c>
      <c r="J479" s="8" t="s">
        <v>47</v>
      </c>
      <c r="K479" s="8" t="n">
        <v>3</v>
      </c>
      <c r="L479" s="12" t="n">
        <v>1113.42</v>
      </c>
      <c r="M479" s="13" t="n">
        <v>0.05</v>
      </c>
      <c r="N479" s="12" t="n">
        <v>3173.25</v>
      </c>
      <c r="O479" s="12" t="n">
        <v>628.83</v>
      </c>
      <c r="P479" s="8" t="str">
        <f aca="false">TEXT(B479,"mmm-yyyy")</f>
        <v>Jul-2024</v>
      </c>
      <c r="Q479" s="14" t="n">
        <f aca="false">IFERROR(O479/N479,"")</f>
        <v>0.198165918222642</v>
      </c>
      <c r="R479" s="8" t="str">
        <f aca="false">IF(OR(N479&gt;$U$3,N479&lt;$U$2),"Sales Outlier",IF(OR(O479&gt;$U$6,O479&lt;$U$4),"Profit Outlier",""))</f>
        <v/>
      </c>
    </row>
    <row r="480" customFormat="false" ht="15" hidden="false" customHeight="true" outlineLevel="0" collapsed="false">
      <c r="A480" s="8" t="s">
        <v>1961</v>
      </c>
      <c r="B480" s="11" t="n">
        <v>45483</v>
      </c>
      <c r="C480" s="11" t="n">
        <v>45489</v>
      </c>
      <c r="D480" s="8" t="s">
        <v>769</v>
      </c>
      <c r="E480" s="8" t="s">
        <v>52</v>
      </c>
      <c r="F480" s="8" t="s">
        <v>61</v>
      </c>
      <c r="G480" s="8" t="s">
        <v>36</v>
      </c>
      <c r="H480" s="8" t="s">
        <v>132</v>
      </c>
      <c r="I480" s="8" t="s">
        <v>56</v>
      </c>
      <c r="J480" s="8" t="s">
        <v>47</v>
      </c>
      <c r="K480" s="8" t="n">
        <v>4</v>
      </c>
      <c r="L480" s="12" t="n">
        <v>345.56</v>
      </c>
      <c r="M480" s="13" t="n">
        <v>0.15</v>
      </c>
      <c r="N480" s="12" t="n">
        <v>1174.9</v>
      </c>
      <c r="O480" s="12" t="n">
        <v>-62.72</v>
      </c>
      <c r="P480" s="8" t="str">
        <f aca="false">TEXT(B480,"mmm-yyyy")</f>
        <v>Jul-2024</v>
      </c>
      <c r="Q480" s="14" t="n">
        <f aca="false">IFERROR(O480/N480,"")</f>
        <v>-0.0533832666609924</v>
      </c>
      <c r="R480" s="8" t="str">
        <f aca="false">IF(OR(N480&gt;$U$3,N480&lt;$U$2),"Sales Outlier",IF(OR(O480&gt;$U$6,O480&lt;$U$4),"Profit Outlier",""))</f>
        <v/>
      </c>
    </row>
    <row r="481" customFormat="false" ht="15" hidden="false" customHeight="true" outlineLevel="0" collapsed="false">
      <c r="A481" s="8" t="s">
        <v>1044</v>
      </c>
      <c r="B481" s="11" t="n">
        <v>45485</v>
      </c>
      <c r="C481" s="11" t="n">
        <v>45488</v>
      </c>
      <c r="D481" s="8" t="s">
        <v>1047</v>
      </c>
      <c r="E481" s="8" t="s">
        <v>52</v>
      </c>
      <c r="F481" s="8" t="s">
        <v>147</v>
      </c>
      <c r="G481" s="8" t="s">
        <v>54</v>
      </c>
      <c r="H481" s="8" t="s">
        <v>77</v>
      </c>
      <c r="I481" s="8" t="s">
        <v>121</v>
      </c>
      <c r="J481" s="8" t="s">
        <v>29</v>
      </c>
      <c r="K481" s="8" t="n">
        <v>2</v>
      </c>
      <c r="L481" s="12" t="n">
        <v>167.98</v>
      </c>
      <c r="M481" s="13" t="n">
        <v>0.15</v>
      </c>
      <c r="N481" s="12" t="n">
        <v>285.57</v>
      </c>
      <c r="O481" s="12" t="n">
        <v>36.89</v>
      </c>
      <c r="P481" s="8" t="str">
        <f aca="false">TEXT(B481,"mmm-yyyy")</f>
        <v>Jul-2024</v>
      </c>
      <c r="Q481" s="14" t="n">
        <f aca="false">IFERROR(O481/N481,"")</f>
        <v>0.12918023601919</v>
      </c>
      <c r="R481" s="8" t="str">
        <f aca="false">IF(OR(N481&gt;$U$3,N481&lt;$U$2),"Sales Outlier",IF(OR(O481&gt;$U$6,O481&lt;$U$4),"Profit Outlier",""))</f>
        <v/>
      </c>
    </row>
    <row r="482" customFormat="false" ht="15" hidden="false" customHeight="true" outlineLevel="0" collapsed="false">
      <c r="A482" s="8" t="s">
        <v>2066</v>
      </c>
      <c r="B482" s="11" t="n">
        <v>45485</v>
      </c>
      <c r="C482" s="11" t="n">
        <v>45487</v>
      </c>
      <c r="D482" s="8" t="s">
        <v>1855</v>
      </c>
      <c r="E482" s="8" t="s">
        <v>2285</v>
      </c>
      <c r="F482" s="8" t="s">
        <v>126</v>
      </c>
      <c r="G482" s="8" t="s">
        <v>82</v>
      </c>
      <c r="H482" s="8" t="s">
        <v>114</v>
      </c>
      <c r="I482" s="8" t="s">
        <v>297</v>
      </c>
      <c r="J482" s="8" t="s">
        <v>47</v>
      </c>
      <c r="K482" s="8" t="n">
        <v>1</v>
      </c>
      <c r="L482" s="12" t="n">
        <v>337.66</v>
      </c>
      <c r="M482" s="13" t="n">
        <v>0</v>
      </c>
      <c r="N482" s="12" t="n">
        <v>337.66</v>
      </c>
      <c r="O482" s="12" t="n">
        <v>108.53</v>
      </c>
      <c r="P482" s="8" t="str">
        <f aca="false">TEXT(B482,"mmm-yyyy")</f>
        <v>Jul-2024</v>
      </c>
      <c r="Q482" s="14" t="n">
        <f aca="false">IFERROR(O482/N482,"")</f>
        <v>0.321417994432269</v>
      </c>
      <c r="R482" s="8" t="str">
        <f aca="false">IF(OR(N482&gt;$U$3,N482&lt;$U$2),"Sales Outlier",IF(OR(O482&gt;$U$6,O482&lt;$U$4),"Profit Outlier",""))</f>
        <v/>
      </c>
    </row>
    <row r="483" customFormat="false" ht="15" hidden="false" customHeight="true" outlineLevel="0" collapsed="false">
      <c r="A483" s="8" t="s">
        <v>747</v>
      </c>
      <c r="B483" s="11" t="n">
        <v>45486</v>
      </c>
      <c r="C483" s="11" t="n">
        <v>45493</v>
      </c>
      <c r="D483" s="8" t="s">
        <v>749</v>
      </c>
      <c r="E483" s="8" t="s">
        <v>2285</v>
      </c>
      <c r="F483" s="8" t="s">
        <v>147</v>
      </c>
      <c r="G483" s="8" t="s">
        <v>326</v>
      </c>
      <c r="H483" s="8" t="s">
        <v>114</v>
      </c>
      <c r="I483" s="8" t="s">
        <v>96</v>
      </c>
      <c r="J483" s="8" t="s">
        <v>29</v>
      </c>
      <c r="K483" s="8" t="n">
        <v>4</v>
      </c>
      <c r="L483" s="12" t="n">
        <v>930.39</v>
      </c>
      <c r="M483" s="13" t="n">
        <v>0.2</v>
      </c>
      <c r="N483" s="12" t="n">
        <v>2977.25</v>
      </c>
      <c r="O483" s="12" t="n">
        <v>174.01</v>
      </c>
      <c r="P483" s="8" t="str">
        <f aca="false">TEXT(B483,"mmm-yyyy")</f>
        <v>Jul-2024</v>
      </c>
      <c r="Q483" s="14" t="n">
        <f aca="false">IFERROR(O483/N483,"")</f>
        <v>0.0584465530271223</v>
      </c>
      <c r="R483" s="8" t="str">
        <f aca="false">IF(OR(N483&gt;$U$3,N483&lt;$U$2),"Sales Outlier",IF(OR(O483&gt;$U$6,O483&lt;$U$4),"Profit Outlier",""))</f>
        <v/>
      </c>
    </row>
    <row r="484" customFormat="false" ht="15" hidden="false" customHeight="true" outlineLevel="0" collapsed="false">
      <c r="A484" s="8" t="s">
        <v>2207</v>
      </c>
      <c r="B484" s="11" t="n">
        <v>45486</v>
      </c>
      <c r="C484" s="11"/>
      <c r="D484" s="8" t="s">
        <v>1867</v>
      </c>
      <c r="E484" s="8" t="s">
        <v>52</v>
      </c>
      <c r="F484" s="8" t="s">
        <v>61</v>
      </c>
      <c r="G484" s="8" t="s">
        <v>76</v>
      </c>
      <c r="H484" s="8" t="s">
        <v>114</v>
      </c>
      <c r="I484" s="8" t="s">
        <v>96</v>
      </c>
      <c r="J484" s="8" t="s">
        <v>47</v>
      </c>
      <c r="K484" s="8" t="n">
        <v>1</v>
      </c>
      <c r="L484" s="12" t="n">
        <v>90.26</v>
      </c>
      <c r="M484" s="13" t="n">
        <v>0</v>
      </c>
      <c r="N484" s="12" t="n">
        <v>90.26</v>
      </c>
      <c r="O484" s="12" t="n">
        <v>19.64</v>
      </c>
      <c r="P484" s="8" t="str">
        <f aca="false">TEXT(B484,"mmm-yyyy")</f>
        <v>Jul-2024</v>
      </c>
      <c r="Q484" s="14" t="n">
        <f aca="false">IFERROR(O484/N484,"")</f>
        <v>0.21759361843563</v>
      </c>
      <c r="R484" s="8" t="str">
        <f aca="false">IF(OR(N484&gt;$U$3,N484&lt;$U$2),"Sales Outlier",IF(OR(O484&gt;$U$6,O484&lt;$U$4),"Profit Outlier",""))</f>
        <v/>
      </c>
    </row>
    <row r="485" customFormat="false" ht="15" hidden="false" customHeight="true" outlineLevel="0" collapsed="false">
      <c r="A485" s="8" t="s">
        <v>1590</v>
      </c>
      <c r="B485" s="11" t="n">
        <v>45486</v>
      </c>
      <c r="C485" s="11" t="n">
        <v>45492</v>
      </c>
      <c r="D485" s="8" t="s">
        <v>1593</v>
      </c>
      <c r="E485" s="8" t="s">
        <v>24</v>
      </c>
      <c r="F485" s="8" t="s">
        <v>126</v>
      </c>
      <c r="G485" s="8" t="s">
        <v>26</v>
      </c>
      <c r="H485" s="8" t="s">
        <v>132</v>
      </c>
      <c r="I485" s="8" t="s">
        <v>104</v>
      </c>
      <c r="J485" s="8" t="s">
        <v>64</v>
      </c>
      <c r="K485" s="8" t="n">
        <v>5</v>
      </c>
      <c r="L485" s="12" t="n">
        <v>1141.99</v>
      </c>
      <c r="M485" s="13" t="n">
        <v>0</v>
      </c>
      <c r="N485" s="12" t="n">
        <v>5709.95</v>
      </c>
      <c r="O485" s="12" t="n">
        <v>379.25</v>
      </c>
      <c r="P485" s="8" t="str">
        <f aca="false">TEXT(B485,"mmm-yyyy")</f>
        <v>Jul-2024</v>
      </c>
      <c r="Q485" s="14" t="n">
        <f aca="false">IFERROR(O485/N485,"")</f>
        <v>0.0664191455266684</v>
      </c>
      <c r="R485" s="8" t="str">
        <f aca="false">IF(OR(N485&gt;$U$3,N485&lt;$U$2),"Sales Outlier",IF(OR(O485&gt;$U$6,O485&lt;$U$4),"Profit Outlier",""))</f>
        <v/>
      </c>
    </row>
    <row r="486" customFormat="false" ht="15" hidden="false" customHeight="true" outlineLevel="0" collapsed="false">
      <c r="A486" s="8" t="s">
        <v>891</v>
      </c>
      <c r="B486" s="11" t="n">
        <v>45488</v>
      </c>
      <c r="C486" s="11" t="n">
        <v>45495</v>
      </c>
      <c r="D486" s="8" t="s">
        <v>894</v>
      </c>
      <c r="E486" s="8" t="s">
        <v>24</v>
      </c>
      <c r="F486" s="8" t="s">
        <v>147</v>
      </c>
      <c r="G486" s="8" t="s">
        <v>54</v>
      </c>
      <c r="H486" s="8" t="s">
        <v>114</v>
      </c>
      <c r="I486" s="8" t="s">
        <v>297</v>
      </c>
      <c r="J486" s="8" t="s">
        <v>47</v>
      </c>
      <c r="K486" s="8" t="n">
        <v>1</v>
      </c>
      <c r="L486" s="12" t="n">
        <v>365.11</v>
      </c>
      <c r="M486" s="13" t="n">
        <v>0</v>
      </c>
      <c r="N486" s="12" t="n">
        <v>365.11</v>
      </c>
      <c r="O486" s="12" t="n">
        <v>-1.74</v>
      </c>
      <c r="P486" s="8" t="str">
        <f aca="false">TEXT(B486,"mmm-yyyy")</f>
        <v>Jul-2024</v>
      </c>
      <c r="Q486" s="14" t="n">
        <f aca="false">IFERROR(O486/N486,"")</f>
        <v>-0.00476568705321684</v>
      </c>
      <c r="R486" s="8" t="str">
        <f aca="false">IF(OR(N486&gt;$U$3,N486&lt;$U$2),"Sales Outlier",IF(OR(O486&gt;$U$6,O486&lt;$U$4),"Profit Outlier",""))</f>
        <v/>
      </c>
    </row>
    <row r="487" customFormat="false" ht="15" hidden="false" customHeight="true" outlineLevel="0" collapsed="false">
      <c r="A487" s="8" t="s">
        <v>614</v>
      </c>
      <c r="B487" s="11" t="n">
        <v>45488</v>
      </c>
      <c r="C487" s="11" t="n">
        <v>45494</v>
      </c>
      <c r="D487" s="8" t="s">
        <v>1677</v>
      </c>
      <c r="E487" s="8" t="s">
        <v>24</v>
      </c>
      <c r="F487" s="8" t="s">
        <v>61</v>
      </c>
      <c r="G487" s="8" t="s">
        <v>76</v>
      </c>
      <c r="H487" s="8" t="s">
        <v>132</v>
      </c>
      <c r="I487" s="8" t="s">
        <v>220</v>
      </c>
      <c r="J487" s="8" t="s">
        <v>39</v>
      </c>
      <c r="K487" s="8" t="n">
        <v>3</v>
      </c>
      <c r="L487" s="12" t="n">
        <v>1197.47</v>
      </c>
      <c r="M487" s="13" t="n">
        <v>0</v>
      </c>
      <c r="N487" s="12" t="n">
        <v>3592.41</v>
      </c>
      <c r="O487" s="12" t="n">
        <v>899.54</v>
      </c>
      <c r="P487" s="8" t="str">
        <f aca="false">TEXT(B487,"mmm-yyyy")</f>
        <v>Jul-2024</v>
      </c>
      <c r="Q487" s="14" t="n">
        <f aca="false">IFERROR(O487/N487,"")</f>
        <v>0.25040014920346</v>
      </c>
      <c r="R487" s="8" t="str">
        <f aca="false">IF(OR(N487&gt;$U$3,N487&lt;$U$2),"Sales Outlier",IF(OR(O487&gt;$U$6,O487&lt;$U$4),"Profit Outlier",""))</f>
        <v/>
      </c>
    </row>
    <row r="488" customFormat="false" ht="15" hidden="false" customHeight="true" outlineLevel="0" collapsed="false">
      <c r="A488" s="8" t="s">
        <v>1566</v>
      </c>
      <c r="B488" s="11" t="n">
        <v>45488</v>
      </c>
      <c r="C488" s="11" t="n">
        <v>45494</v>
      </c>
      <c r="D488" s="8" t="s">
        <v>1569</v>
      </c>
      <c r="E488" s="8" t="s">
        <v>24</v>
      </c>
      <c r="F488" s="8" t="s">
        <v>154</v>
      </c>
      <c r="G488" s="8" t="s">
        <v>119</v>
      </c>
      <c r="H488" s="8" t="s">
        <v>37</v>
      </c>
      <c r="I488" s="8" t="s">
        <v>404</v>
      </c>
      <c r="J488" s="8" t="s">
        <v>29</v>
      </c>
      <c r="K488" s="8" t="n">
        <v>2</v>
      </c>
      <c r="L488" s="12" t="n">
        <v>556.32</v>
      </c>
      <c r="M488" s="13" t="n">
        <v>0</v>
      </c>
      <c r="N488" s="12" t="n">
        <v>556.32</v>
      </c>
      <c r="O488" s="12" t="n">
        <v>154.28</v>
      </c>
      <c r="P488" s="8" t="str">
        <f aca="false">TEXT(B488,"mmm-yyyy")</f>
        <v>Jul-2024</v>
      </c>
      <c r="Q488" s="14" t="n">
        <f aca="false">IFERROR(O488/N488,"")</f>
        <v>0.277322404371585</v>
      </c>
      <c r="R488" s="8" t="str">
        <f aca="false">IF(OR(N488&gt;$U$3,N488&lt;$U$2),"Sales Outlier",IF(OR(O488&gt;$U$6,O488&lt;$U$4),"Profit Outlier",""))</f>
        <v/>
      </c>
    </row>
    <row r="489" customFormat="false" ht="15" hidden="false" customHeight="true" outlineLevel="0" collapsed="false">
      <c r="A489" s="8" t="s">
        <v>497</v>
      </c>
      <c r="B489" s="11" t="n">
        <v>45490</v>
      </c>
      <c r="C489" s="11" t="n">
        <v>45493</v>
      </c>
      <c r="D489" s="8" t="s">
        <v>500</v>
      </c>
      <c r="E489" s="8" t="s">
        <v>24</v>
      </c>
      <c r="F489" s="8" t="s">
        <v>154</v>
      </c>
      <c r="G489" s="8" t="s">
        <v>182</v>
      </c>
      <c r="H489" s="8" t="s">
        <v>45</v>
      </c>
      <c r="I489" s="8" t="s">
        <v>160</v>
      </c>
      <c r="J489" s="8" t="s">
        <v>39</v>
      </c>
      <c r="K489" s="8" t="n">
        <v>2</v>
      </c>
      <c r="L489" s="12" t="n">
        <v>1120.56</v>
      </c>
      <c r="M489" s="13" t="n">
        <v>0.1</v>
      </c>
      <c r="N489" s="12" t="n">
        <v>1008.5</v>
      </c>
      <c r="O489" s="12" t="n">
        <v>146.77</v>
      </c>
      <c r="P489" s="8" t="str">
        <f aca="false">TEXT(B489,"mmm-yyyy")</f>
        <v>Jul-2024</v>
      </c>
      <c r="Q489" s="14" t="n">
        <f aca="false">IFERROR(O489/N489,"")</f>
        <v>0.145532969757065</v>
      </c>
      <c r="R489" s="8" t="str">
        <f aca="false">IF(OR(N489&gt;$U$3,N489&lt;$U$2),"Sales Outlier",IF(OR(O489&gt;$U$6,O489&lt;$U$4),"Profit Outlier",""))</f>
        <v/>
      </c>
    </row>
    <row r="490" customFormat="false" ht="15" hidden="false" customHeight="true" outlineLevel="0" collapsed="false">
      <c r="A490" s="8" t="s">
        <v>1759</v>
      </c>
      <c r="B490" s="11" t="n">
        <v>45491</v>
      </c>
      <c r="C490" s="11" t="n">
        <v>45492</v>
      </c>
      <c r="D490" s="8" t="s">
        <v>1762</v>
      </c>
      <c r="E490" s="8" t="s">
        <v>24</v>
      </c>
      <c r="F490" s="8" t="s">
        <v>126</v>
      </c>
      <c r="G490" s="8" t="s">
        <v>89</v>
      </c>
      <c r="H490" s="8" t="s">
        <v>77</v>
      </c>
      <c r="I490" s="8" t="s">
        <v>425</v>
      </c>
      <c r="J490" s="8" t="s">
        <v>39</v>
      </c>
      <c r="K490" s="8" t="n">
        <v>4</v>
      </c>
      <c r="L490" s="12" t="n">
        <v>930.85</v>
      </c>
      <c r="M490" s="13" t="n">
        <v>0.15</v>
      </c>
      <c r="N490" s="12" t="n">
        <v>3164.89</v>
      </c>
      <c r="O490" s="12" t="n">
        <v>-36.73</v>
      </c>
      <c r="P490" s="8" t="str">
        <f aca="false">TEXT(B490,"mmm-yyyy")</f>
        <v>Jul-2024</v>
      </c>
      <c r="Q490" s="14" t="n">
        <f aca="false">IFERROR(O490/N490,"")</f>
        <v>-0.0116054586415326</v>
      </c>
      <c r="R490" s="8" t="str">
        <f aca="false">IF(OR(N490&gt;$U$3,N490&lt;$U$2),"Sales Outlier",IF(OR(O490&gt;$U$6,O490&lt;$U$4),"Profit Outlier",""))</f>
        <v/>
      </c>
    </row>
    <row r="491" customFormat="false" ht="15" hidden="false" customHeight="true" outlineLevel="0" collapsed="false">
      <c r="A491" s="8" t="s">
        <v>1948</v>
      </c>
      <c r="B491" s="11" t="n">
        <v>45495</v>
      </c>
      <c r="C491" s="11"/>
      <c r="D491" s="8" t="s">
        <v>244</v>
      </c>
      <c r="E491" s="8" t="s">
        <v>34</v>
      </c>
      <c r="F491" s="8" t="s">
        <v>61</v>
      </c>
      <c r="G491" s="8" t="s">
        <v>62</v>
      </c>
      <c r="H491" s="8" t="s">
        <v>114</v>
      </c>
      <c r="I491" s="8" t="s">
        <v>115</v>
      </c>
      <c r="J491" s="8" t="s">
        <v>29</v>
      </c>
      <c r="K491" s="8" t="n">
        <v>2</v>
      </c>
      <c r="L491" s="12" t="n">
        <v>852.1</v>
      </c>
      <c r="M491" s="13" t="n">
        <v>0.2</v>
      </c>
      <c r="N491" s="12" t="n">
        <v>681.68</v>
      </c>
      <c r="O491" s="12" t="n">
        <v>-29.12</v>
      </c>
      <c r="P491" s="8" t="str">
        <f aca="false">TEXT(B491,"mmm-yyyy")</f>
        <v>Jul-2024</v>
      </c>
      <c r="Q491" s="14" t="n">
        <f aca="false">IFERROR(O491/N491,"")</f>
        <v>-0.0427179908461448</v>
      </c>
      <c r="R491" s="8" t="str">
        <f aca="false">IF(OR(N491&gt;$U$3,N491&lt;$U$2),"Sales Outlier",IF(OR(O491&gt;$U$6,O491&lt;$U$4),"Profit Outlier",""))</f>
        <v/>
      </c>
    </row>
    <row r="492" customFormat="false" ht="15" hidden="false" customHeight="true" outlineLevel="0" collapsed="false">
      <c r="A492" s="8" t="s">
        <v>2218</v>
      </c>
      <c r="B492" s="11" t="n">
        <v>45495</v>
      </c>
      <c r="C492" s="11" t="n">
        <v>45499</v>
      </c>
      <c r="D492" s="8" t="s">
        <v>2220</v>
      </c>
      <c r="E492" s="8" t="s">
        <v>24</v>
      </c>
      <c r="F492" s="8" t="s">
        <v>126</v>
      </c>
      <c r="G492" s="8" t="s">
        <v>89</v>
      </c>
      <c r="H492" s="8" t="s">
        <v>114</v>
      </c>
      <c r="I492" s="8" t="s">
        <v>297</v>
      </c>
      <c r="J492" s="8" t="s">
        <v>29</v>
      </c>
      <c r="K492" s="8" t="n">
        <v>2</v>
      </c>
      <c r="L492" s="12" t="n">
        <v>218.57</v>
      </c>
      <c r="M492" s="13" t="n">
        <v>0.2</v>
      </c>
      <c r="N492" s="12" t="n">
        <v>174.86</v>
      </c>
      <c r="O492" s="12" t="n">
        <v>-8.12</v>
      </c>
      <c r="P492" s="8" t="str">
        <f aca="false">TEXT(B492,"mmm-yyyy")</f>
        <v>Jul-2024</v>
      </c>
      <c r="Q492" s="14" t="n">
        <f aca="false">IFERROR(O492/N492,"")</f>
        <v>-0.0464371497197758</v>
      </c>
      <c r="R492" s="8" t="str">
        <f aca="false">IF(OR(N492&gt;$U$3,N492&lt;$U$2),"Sales Outlier",IF(OR(O492&gt;$U$6,O492&lt;$U$4),"Profit Outlier",""))</f>
        <v/>
      </c>
    </row>
    <row r="493" customFormat="false" ht="15" hidden="false" customHeight="true" outlineLevel="0" collapsed="false">
      <c r="A493" s="8" t="s">
        <v>1140</v>
      </c>
      <c r="B493" s="11" t="n">
        <v>45498</v>
      </c>
      <c r="C493" s="11" t="n">
        <v>45501</v>
      </c>
      <c r="D493" s="8" t="s">
        <v>1142</v>
      </c>
      <c r="E493" s="8" t="s">
        <v>2285</v>
      </c>
      <c r="F493" s="8" t="s">
        <v>61</v>
      </c>
      <c r="G493" s="8" t="s">
        <v>62</v>
      </c>
      <c r="H493" s="8" t="s">
        <v>45</v>
      </c>
      <c r="I493" s="8" t="s">
        <v>46</v>
      </c>
      <c r="J493" s="8" t="s">
        <v>47</v>
      </c>
      <c r="K493" s="8" t="n">
        <v>2</v>
      </c>
      <c r="L493" s="12" t="n">
        <v>1149.02</v>
      </c>
      <c r="M493" s="13" t="n">
        <v>0.1</v>
      </c>
      <c r="N493" s="12" t="n">
        <v>2068.24</v>
      </c>
      <c r="O493" s="12" t="n">
        <v>239.73</v>
      </c>
      <c r="P493" s="8" t="str">
        <f aca="false">TEXT(B493,"mmm-yyyy")</f>
        <v>Jul-2024</v>
      </c>
      <c r="Q493" s="14" t="n">
        <f aca="false">IFERROR(O493/N493,"")</f>
        <v>0.115910145824469</v>
      </c>
      <c r="R493" s="8" t="str">
        <f aca="false">IF(OR(N493&gt;$U$3,N493&lt;$U$2),"Sales Outlier",IF(OR(O493&gt;$U$6,O493&lt;$U$4),"Profit Outlier",""))</f>
        <v/>
      </c>
    </row>
    <row r="494" customFormat="false" ht="15" hidden="false" customHeight="true" outlineLevel="0" collapsed="false">
      <c r="A494" s="8" t="s">
        <v>1493</v>
      </c>
      <c r="B494" s="11" t="n">
        <v>45498</v>
      </c>
      <c r="C494" s="11" t="n">
        <v>45499</v>
      </c>
      <c r="D494" s="8" t="s">
        <v>1495</v>
      </c>
      <c r="E494" s="8" t="s">
        <v>2285</v>
      </c>
      <c r="F494" s="8" t="s">
        <v>126</v>
      </c>
      <c r="G494" s="8" t="s">
        <v>82</v>
      </c>
      <c r="H494" s="8" t="s">
        <v>45</v>
      </c>
      <c r="I494" s="8" t="s">
        <v>46</v>
      </c>
      <c r="J494" s="8" t="s">
        <v>39</v>
      </c>
      <c r="K494" s="8" t="n">
        <v>4</v>
      </c>
      <c r="L494" s="12" t="n">
        <v>652.04</v>
      </c>
      <c r="M494" s="13" t="n">
        <v>0.15</v>
      </c>
      <c r="N494" s="12" t="n">
        <v>2216.94</v>
      </c>
      <c r="O494" s="12" t="n">
        <v>309.28</v>
      </c>
      <c r="P494" s="8" t="str">
        <f aca="false">TEXT(B494,"mmm-yyyy")</f>
        <v>Jul-2024</v>
      </c>
      <c r="Q494" s="14" t="n">
        <f aca="false">IFERROR(O494/N494,"")</f>
        <v>0.139507609587991</v>
      </c>
      <c r="R494" s="8" t="str">
        <f aca="false">IF(OR(N494&gt;$U$3,N494&lt;$U$2),"Sales Outlier",IF(OR(O494&gt;$U$6,O494&lt;$U$4),"Profit Outlier",""))</f>
        <v/>
      </c>
    </row>
    <row r="495" customFormat="false" ht="15" hidden="false" customHeight="true" outlineLevel="0" collapsed="false">
      <c r="A495" s="8" t="s">
        <v>551</v>
      </c>
      <c r="B495" s="11" t="n">
        <v>45498</v>
      </c>
      <c r="C495" s="11" t="n">
        <v>45505</v>
      </c>
      <c r="D495" s="8" t="s">
        <v>1148</v>
      </c>
      <c r="E495" s="8" t="s">
        <v>2285</v>
      </c>
      <c r="F495" s="8" t="s">
        <v>154</v>
      </c>
      <c r="G495" s="8" t="s">
        <v>102</v>
      </c>
      <c r="H495" s="8" t="s">
        <v>45</v>
      </c>
      <c r="I495" s="8" t="s">
        <v>28</v>
      </c>
      <c r="J495" s="8" t="s">
        <v>47</v>
      </c>
      <c r="K495" s="8" t="n">
        <v>2</v>
      </c>
      <c r="L495" s="12" t="n">
        <v>587.97</v>
      </c>
      <c r="M495" s="13" t="n">
        <v>0.1</v>
      </c>
      <c r="N495" s="12" t="n">
        <v>1058.35</v>
      </c>
      <c r="O495" s="12" t="n">
        <v>239.17</v>
      </c>
      <c r="P495" s="8" t="str">
        <f aca="false">TEXT(B495,"mmm-yyyy")</f>
        <v>Jul-2024</v>
      </c>
      <c r="Q495" s="14" t="n">
        <f aca="false">IFERROR(O495/N495,"")</f>
        <v>0.22598384277413</v>
      </c>
      <c r="R495" s="8" t="str">
        <f aca="false">IF(OR(N495&gt;$U$3,N495&lt;$U$2),"Sales Outlier",IF(OR(O495&gt;$U$6,O495&lt;$U$4),"Profit Outlier",""))</f>
        <v/>
      </c>
    </row>
    <row r="496" customFormat="false" ht="15" hidden="false" customHeight="true" outlineLevel="0" collapsed="false">
      <c r="A496" s="8" t="s">
        <v>1017</v>
      </c>
      <c r="B496" s="11" t="n">
        <v>45502</v>
      </c>
      <c r="C496" s="11" t="n">
        <v>45509</v>
      </c>
      <c r="D496" s="8" t="s">
        <v>1020</v>
      </c>
      <c r="E496" s="8" t="s">
        <v>52</v>
      </c>
      <c r="F496" s="8" t="s">
        <v>147</v>
      </c>
      <c r="G496" s="8" t="s">
        <v>326</v>
      </c>
      <c r="H496" s="8" t="s">
        <v>37</v>
      </c>
      <c r="I496" s="8" t="s">
        <v>404</v>
      </c>
      <c r="J496" s="8" t="s">
        <v>47</v>
      </c>
      <c r="K496" s="8" t="n">
        <v>1</v>
      </c>
      <c r="L496" s="12" t="n">
        <v>741.25</v>
      </c>
      <c r="M496" s="13" t="n">
        <v>0</v>
      </c>
      <c r="N496" s="12" t="n">
        <v>741.25</v>
      </c>
      <c r="O496" s="12" t="n">
        <v>147.53</v>
      </c>
      <c r="P496" s="8" t="str">
        <f aca="false">TEXT(B496,"mmm-yyyy")</f>
        <v>Jul-2024</v>
      </c>
      <c r="Q496" s="14" t="n">
        <f aca="false">IFERROR(O496/N496,"")</f>
        <v>0.199028667790894</v>
      </c>
      <c r="R496" s="8" t="str">
        <f aca="false">IF(OR(N496&gt;$U$3,N496&lt;$U$2),"Sales Outlier",IF(OR(O496&gt;$U$6,O496&lt;$U$4),"Profit Outlier",""))</f>
        <v/>
      </c>
    </row>
    <row r="497" customFormat="false" ht="15" hidden="false" customHeight="true" outlineLevel="0" collapsed="false">
      <c r="A497" s="8" t="s">
        <v>924</v>
      </c>
      <c r="B497" s="11" t="n">
        <v>45504</v>
      </c>
      <c r="C497" s="11" t="n">
        <v>45359</v>
      </c>
      <c r="D497" s="8" t="s">
        <v>927</v>
      </c>
      <c r="E497" s="8" t="s">
        <v>2285</v>
      </c>
      <c r="F497" s="8" t="s">
        <v>154</v>
      </c>
      <c r="G497" s="8" t="s">
        <v>182</v>
      </c>
      <c r="H497" s="8" t="s">
        <v>45</v>
      </c>
      <c r="I497" s="8" t="s">
        <v>149</v>
      </c>
      <c r="J497" s="8" t="s">
        <v>29</v>
      </c>
      <c r="K497" s="8" t="n">
        <v>1</v>
      </c>
      <c r="L497" s="12" t="n">
        <v>269.12</v>
      </c>
      <c r="M497" s="13" t="n">
        <v>0.1</v>
      </c>
      <c r="N497" s="12" t="n">
        <v>242.21</v>
      </c>
      <c r="O497" s="12" t="n">
        <v>7.92</v>
      </c>
      <c r="P497" s="8" t="str">
        <f aca="false">TEXT(B497,"mmm-yyyy")</f>
        <v>Jul-2024</v>
      </c>
      <c r="Q497" s="14" t="n">
        <f aca="false">IFERROR(O497/N497,"")</f>
        <v>0.0326988976507989</v>
      </c>
      <c r="R497" s="8" t="str">
        <f aca="false">IF(OR(N497&gt;$U$3,N497&lt;$U$2),"Sales Outlier",IF(OR(O497&gt;$U$6,O497&lt;$U$4),"Profit Outlier",""))</f>
        <v/>
      </c>
    </row>
    <row r="498" customFormat="false" ht="15" hidden="false" customHeight="true" outlineLevel="0" collapsed="false">
      <c r="A498" s="8" t="s">
        <v>116</v>
      </c>
      <c r="B498" s="11" t="n">
        <v>45504</v>
      </c>
      <c r="C498" s="11" t="n">
        <v>45510</v>
      </c>
      <c r="D498" s="8" t="s">
        <v>2282</v>
      </c>
      <c r="E498" s="8" t="s">
        <v>2285</v>
      </c>
      <c r="F498" s="8" t="s">
        <v>154</v>
      </c>
      <c r="G498" s="8" t="s">
        <v>119</v>
      </c>
      <c r="H498" s="8" t="s">
        <v>77</v>
      </c>
      <c r="I498" s="8" t="s">
        <v>121</v>
      </c>
      <c r="J498" s="8" t="s">
        <v>64</v>
      </c>
      <c r="K498" s="8" t="n">
        <v>1</v>
      </c>
      <c r="L498" s="12" t="n">
        <v>1088.78</v>
      </c>
      <c r="M498" s="13" t="n">
        <v>0.2</v>
      </c>
      <c r="N498" s="12" t="n">
        <v>871.02</v>
      </c>
      <c r="O498" s="12" t="n">
        <v>252.67</v>
      </c>
      <c r="P498" s="8" t="str">
        <f aca="false">TEXT(B498,"mmm-yyyy")</f>
        <v>Jul-2024</v>
      </c>
      <c r="Q498" s="14" t="n">
        <f aca="false">IFERROR(O498/N498,"")</f>
        <v>0.290085187481344</v>
      </c>
      <c r="R498" s="8" t="str">
        <f aca="false">IF(OR(N498&gt;$U$3,N498&lt;$U$2),"Sales Outlier",IF(OR(O498&gt;$U$6,O498&lt;$U$4),"Profit Outlier",""))</f>
        <v/>
      </c>
    </row>
    <row r="499" customFormat="false" ht="15" hidden="false" customHeight="true" outlineLevel="0" collapsed="false">
      <c r="A499" s="8" t="s">
        <v>520</v>
      </c>
      <c r="B499" s="11" t="n">
        <v>45505</v>
      </c>
      <c r="C499" s="11" t="n">
        <v>45507</v>
      </c>
      <c r="D499" s="8" t="s">
        <v>523</v>
      </c>
      <c r="E499" s="8" t="s">
        <v>24</v>
      </c>
      <c r="F499" s="8" t="s">
        <v>147</v>
      </c>
      <c r="G499" s="8" t="s">
        <v>215</v>
      </c>
      <c r="H499" s="8" t="s">
        <v>132</v>
      </c>
      <c r="I499" s="8" t="s">
        <v>220</v>
      </c>
      <c r="J499" s="8" t="s">
        <v>39</v>
      </c>
      <c r="K499" s="8" t="n">
        <v>2</v>
      </c>
      <c r="L499" s="12" t="n">
        <v>1186.64</v>
      </c>
      <c r="M499" s="13" t="n">
        <v>0</v>
      </c>
      <c r="N499" s="12" t="n">
        <v>2373.28</v>
      </c>
      <c r="O499" s="12" t="n">
        <v>589.68</v>
      </c>
      <c r="P499" s="8" t="str">
        <f aca="false">TEXT(B499,"mmm-yyyy")</f>
        <v>Aug-2024</v>
      </c>
      <c r="Q499" s="14" t="n">
        <f aca="false">IFERROR(O499/N499,"")</f>
        <v>0.248466257668712</v>
      </c>
      <c r="R499" s="8" t="str">
        <f aca="false">IF(OR(N499&gt;$U$3,N499&lt;$U$2),"Sales Outlier",IF(OR(O499&gt;$U$6,O499&lt;$U$4),"Profit Outlier",""))</f>
        <v/>
      </c>
    </row>
    <row r="500" customFormat="false" ht="15" hidden="false" customHeight="true" outlineLevel="0" collapsed="false">
      <c r="A500" s="8" t="s">
        <v>1953</v>
      </c>
      <c r="B500" s="11" t="n">
        <v>45505</v>
      </c>
      <c r="C500" s="11" t="n">
        <v>45597</v>
      </c>
      <c r="D500" s="8" t="s">
        <v>1040</v>
      </c>
      <c r="E500" s="8" t="s">
        <v>24</v>
      </c>
      <c r="F500" s="8" t="s">
        <v>61</v>
      </c>
      <c r="G500" s="8" t="s">
        <v>76</v>
      </c>
      <c r="H500" s="8" t="s">
        <v>77</v>
      </c>
      <c r="I500" s="8" t="s">
        <v>127</v>
      </c>
      <c r="J500" s="8" t="s">
        <v>29</v>
      </c>
      <c r="K500" s="8" t="n">
        <v>1</v>
      </c>
      <c r="L500" s="12" t="n">
        <v>590.41</v>
      </c>
      <c r="M500" s="13" t="n">
        <v>0.2</v>
      </c>
      <c r="N500" s="12" t="n">
        <v>472.33</v>
      </c>
      <c r="O500" s="12" t="n">
        <v>154.62</v>
      </c>
      <c r="P500" s="8" t="str">
        <f aca="false">TEXT(B500,"mmm-yyyy")</f>
        <v>Aug-2024</v>
      </c>
      <c r="Q500" s="14" t="n">
        <f aca="false">IFERROR(O500/N500,"")</f>
        <v>0.327355874071094</v>
      </c>
      <c r="R500" s="8" t="str">
        <f aca="false">IF(OR(N500&gt;$U$3,N500&lt;$U$2),"Sales Outlier",IF(OR(O500&gt;$U$6,O500&lt;$U$4),"Profit Outlier",""))</f>
        <v/>
      </c>
    </row>
    <row r="501" customFormat="false" ht="15" hidden="false" customHeight="true" outlineLevel="0" collapsed="false">
      <c r="A501" s="8" t="s">
        <v>2097</v>
      </c>
      <c r="B501" s="11" t="n">
        <v>45506</v>
      </c>
      <c r="C501" s="11" t="n">
        <v>45513</v>
      </c>
      <c r="D501" s="8" t="s">
        <v>1023</v>
      </c>
      <c r="E501" s="8" t="s">
        <v>34</v>
      </c>
      <c r="F501" s="8" t="s">
        <v>126</v>
      </c>
      <c r="G501" s="8" t="s">
        <v>26</v>
      </c>
      <c r="H501" s="8" t="s">
        <v>45</v>
      </c>
      <c r="I501" s="8" t="s">
        <v>46</v>
      </c>
      <c r="J501" s="8" t="s">
        <v>39</v>
      </c>
      <c r="K501" s="8" t="n">
        <v>1</v>
      </c>
      <c r="L501" s="12" t="n">
        <v>923.07</v>
      </c>
      <c r="M501" s="13" t="n">
        <v>0.1</v>
      </c>
      <c r="N501" s="12" t="n">
        <v>830.76</v>
      </c>
      <c r="O501" s="12" t="n">
        <v>32.09</v>
      </c>
      <c r="P501" s="8" t="str">
        <f aca="false">TEXT(B501,"mmm-yyyy")</f>
        <v>Aug-2024</v>
      </c>
      <c r="Q501" s="14" t="n">
        <f aca="false">IFERROR(O501/N501,"")</f>
        <v>0.0386272810438635</v>
      </c>
      <c r="R501" s="8" t="str">
        <f aca="false">IF(OR(N501&gt;$U$3,N501&lt;$U$2),"Sales Outlier",IF(OR(O501&gt;$U$6,O501&lt;$U$4),"Profit Outlier",""))</f>
        <v/>
      </c>
    </row>
    <row r="502" customFormat="false" ht="15" hidden="false" customHeight="true" outlineLevel="0" collapsed="false">
      <c r="A502" s="8" t="s">
        <v>364</v>
      </c>
      <c r="B502" s="11" t="n">
        <v>45507</v>
      </c>
      <c r="C502" s="11" t="n">
        <v>45513</v>
      </c>
      <c r="D502" s="8" t="s">
        <v>367</v>
      </c>
      <c r="E502" s="8" t="s">
        <v>34</v>
      </c>
      <c r="F502" s="8" t="s">
        <v>126</v>
      </c>
      <c r="G502" s="8" t="s">
        <v>82</v>
      </c>
      <c r="H502" s="8" t="s">
        <v>45</v>
      </c>
      <c r="I502" s="8" t="s">
        <v>138</v>
      </c>
      <c r="J502" s="8" t="s">
        <v>64</v>
      </c>
      <c r="K502" s="8" t="n">
        <v>3</v>
      </c>
      <c r="L502" s="12" t="n">
        <v>369.47</v>
      </c>
      <c r="M502" s="13" t="n">
        <v>0.1</v>
      </c>
      <c r="N502" s="12" t="n">
        <v>997.57</v>
      </c>
      <c r="O502" s="12" t="n">
        <v>136.62</v>
      </c>
      <c r="P502" s="8" t="str">
        <f aca="false">TEXT(B502,"mmm-yyyy")</f>
        <v>Aug-2024</v>
      </c>
      <c r="Q502" s="14" t="n">
        <f aca="false">IFERROR(O502/N502,"")</f>
        <v>0.136952795292561</v>
      </c>
      <c r="R502" s="8" t="str">
        <f aca="false">IF(OR(N502&gt;$U$3,N502&lt;$U$2),"Sales Outlier",IF(OR(O502&gt;$U$6,O502&lt;$U$4),"Profit Outlier",""))</f>
        <v/>
      </c>
    </row>
    <row r="503" customFormat="false" ht="15" hidden="false" customHeight="true" outlineLevel="0" collapsed="false">
      <c r="A503" s="8" t="s">
        <v>1868</v>
      </c>
      <c r="B503" s="11" t="n">
        <v>45507</v>
      </c>
      <c r="C503" s="11" t="n">
        <v>45514</v>
      </c>
      <c r="D503" s="8" t="s">
        <v>935</v>
      </c>
      <c r="E503" s="8" t="s">
        <v>2285</v>
      </c>
      <c r="F503" s="8" t="s">
        <v>126</v>
      </c>
      <c r="G503" s="8" t="s">
        <v>26</v>
      </c>
      <c r="H503" s="8" t="s">
        <v>114</v>
      </c>
      <c r="I503" s="8" t="s">
        <v>115</v>
      </c>
      <c r="J503" s="8" t="s">
        <v>39</v>
      </c>
      <c r="K503" s="8" t="n">
        <v>5</v>
      </c>
      <c r="L503" s="12" t="n">
        <v>791.79</v>
      </c>
      <c r="M503" s="13" t="n">
        <v>0</v>
      </c>
      <c r="N503" s="12" t="n">
        <v>3958.95</v>
      </c>
      <c r="O503" s="12" t="n">
        <v>-131.93</v>
      </c>
      <c r="P503" s="8" t="str">
        <f aca="false">TEXT(B503,"mmm-yyyy")</f>
        <v>Aug-2024</v>
      </c>
      <c r="Q503" s="14" t="n">
        <f aca="false">IFERROR(O503/N503,"")</f>
        <v>-0.0333244926053625</v>
      </c>
      <c r="R503" s="8" t="str">
        <f aca="false">IF(OR(N503&gt;$U$3,N503&lt;$U$2),"Sales Outlier",IF(OR(O503&gt;$U$6,O503&lt;$U$4),"Profit Outlier",""))</f>
        <v/>
      </c>
    </row>
    <row r="504" customFormat="false" ht="15" hidden="false" customHeight="true" outlineLevel="0" collapsed="false">
      <c r="A504" s="8" t="s">
        <v>936</v>
      </c>
      <c r="B504" s="11" t="n">
        <v>45508</v>
      </c>
      <c r="C504" s="11" t="n">
        <v>45512</v>
      </c>
      <c r="D504" s="8" t="s">
        <v>530</v>
      </c>
      <c r="E504" s="8" t="s">
        <v>24</v>
      </c>
      <c r="F504" s="8" t="s">
        <v>61</v>
      </c>
      <c r="G504" s="8" t="s">
        <v>36</v>
      </c>
      <c r="H504" s="8" t="s">
        <v>77</v>
      </c>
      <c r="I504" s="8" t="s">
        <v>78</v>
      </c>
      <c r="J504" s="8" t="s">
        <v>29</v>
      </c>
      <c r="K504" s="8" t="n">
        <v>4</v>
      </c>
      <c r="L504" s="12" t="n">
        <v>44.99</v>
      </c>
      <c r="M504" s="13" t="n">
        <v>0</v>
      </c>
      <c r="N504" s="12" t="n">
        <v>179.96</v>
      </c>
      <c r="O504" s="12" t="n">
        <v>41.23</v>
      </c>
      <c r="P504" s="8" t="str">
        <f aca="false">TEXT(B504,"mmm-yyyy")</f>
        <v>Aug-2024</v>
      </c>
      <c r="Q504" s="14" t="n">
        <f aca="false">IFERROR(O504/N504,"")</f>
        <v>0.229106468104023</v>
      </c>
      <c r="R504" s="8" t="str">
        <f aca="false">IF(OR(N504&gt;$U$3,N504&lt;$U$2),"Sales Outlier",IF(OR(O504&gt;$U$6,O504&lt;$U$4),"Profit Outlier",""))</f>
        <v/>
      </c>
    </row>
    <row r="505" customFormat="false" ht="15" hidden="false" customHeight="true" outlineLevel="0" collapsed="false">
      <c r="A505" s="8" t="s">
        <v>1059</v>
      </c>
      <c r="B505" s="11" t="n">
        <v>45509</v>
      </c>
      <c r="C505" s="11" t="n">
        <v>45515</v>
      </c>
      <c r="D505" s="8" t="s">
        <v>1061</v>
      </c>
      <c r="E505" s="8" t="s">
        <v>24</v>
      </c>
      <c r="F505" s="8" t="s">
        <v>126</v>
      </c>
      <c r="G505" s="8" t="s">
        <v>89</v>
      </c>
      <c r="H505" s="8" t="s">
        <v>114</v>
      </c>
      <c r="I505" s="8" t="s">
        <v>115</v>
      </c>
      <c r="J505" s="8" t="s">
        <v>29</v>
      </c>
      <c r="K505" s="8" t="n">
        <v>5</v>
      </c>
      <c r="L505" s="12" t="n">
        <v>587.51</v>
      </c>
      <c r="M505" s="13" t="n">
        <v>0</v>
      </c>
      <c r="N505" s="12" t="n">
        <v>2937.55</v>
      </c>
      <c r="O505" s="12" t="n">
        <v>-220.08</v>
      </c>
      <c r="P505" s="8" t="str">
        <f aca="false">TEXT(B505,"mmm-yyyy")</f>
        <v>Aug-2024</v>
      </c>
      <c r="Q505" s="14" t="n">
        <f aca="false">IFERROR(O505/N505,"")</f>
        <v>-0.074919575837007</v>
      </c>
      <c r="R505" s="8" t="str">
        <f aca="false">IF(OR(N505&gt;$U$3,N505&lt;$U$2),"Sales Outlier",IF(OR(O505&gt;$U$6,O505&lt;$U$4),"Profit Outlier",""))</f>
        <v/>
      </c>
    </row>
    <row r="506" customFormat="false" ht="15" hidden="false" customHeight="true" outlineLevel="0" collapsed="false">
      <c r="A506" s="8" t="s">
        <v>1011</v>
      </c>
      <c r="B506" s="11" t="n">
        <v>45509</v>
      </c>
      <c r="C506" s="11" t="n">
        <v>45510</v>
      </c>
      <c r="D506" s="8" t="s">
        <v>403</v>
      </c>
      <c r="E506" s="8" t="s">
        <v>2285</v>
      </c>
      <c r="F506" s="8" t="s">
        <v>61</v>
      </c>
      <c r="G506" s="8" t="s">
        <v>76</v>
      </c>
      <c r="H506" s="8" t="s">
        <v>45</v>
      </c>
      <c r="I506" s="8" t="s">
        <v>46</v>
      </c>
      <c r="J506" s="8" t="s">
        <v>64</v>
      </c>
      <c r="K506" s="8" t="n">
        <v>2</v>
      </c>
      <c r="L506" s="12" t="n">
        <v>937.72</v>
      </c>
      <c r="M506" s="13" t="n">
        <v>0.2</v>
      </c>
      <c r="N506" s="12" t="n">
        <v>1500.35</v>
      </c>
      <c r="O506" s="12" t="n">
        <v>469.78</v>
      </c>
      <c r="P506" s="8" t="str">
        <f aca="false">TEXT(B506,"mmm-yyyy")</f>
        <v>Aug-2024</v>
      </c>
      <c r="Q506" s="14" t="n">
        <f aca="false">IFERROR(O506/N506,"")</f>
        <v>0.313113606825074</v>
      </c>
      <c r="R506" s="8" t="str">
        <f aca="false">IF(OR(N506&gt;$U$3,N506&lt;$U$2),"Sales Outlier",IF(OR(O506&gt;$U$6,O506&lt;$U$4),"Profit Outlier",""))</f>
        <v/>
      </c>
    </row>
    <row r="507" customFormat="false" ht="15" hidden="false" customHeight="true" outlineLevel="0" collapsed="false">
      <c r="A507" s="8" t="s">
        <v>1894</v>
      </c>
      <c r="B507" s="11" t="n">
        <v>45510</v>
      </c>
      <c r="C507" s="11" t="n">
        <v>45515</v>
      </c>
      <c r="D507" s="8" t="s">
        <v>2304</v>
      </c>
      <c r="E507" s="8" t="s">
        <v>52</v>
      </c>
      <c r="F507" s="8" t="s">
        <v>61</v>
      </c>
      <c r="G507" s="8" t="s">
        <v>36</v>
      </c>
      <c r="H507" s="8" t="s">
        <v>37</v>
      </c>
      <c r="I507" s="8" t="s">
        <v>404</v>
      </c>
      <c r="J507" s="8" t="s">
        <v>29</v>
      </c>
      <c r="K507" s="8" t="n">
        <v>4</v>
      </c>
      <c r="L507" s="12" t="n">
        <v>59.06</v>
      </c>
      <c r="M507" s="13" t="n">
        <v>0</v>
      </c>
      <c r="N507" s="12" t="n">
        <v>236.24</v>
      </c>
      <c r="O507" s="12" t="n">
        <v>48.71</v>
      </c>
      <c r="P507" s="8" t="str">
        <f aca="false">TEXT(B507,"mmm-yyyy")</f>
        <v>Aug-2024</v>
      </c>
      <c r="Q507" s="14" t="n">
        <f aca="false">IFERROR(O507/N507,"")</f>
        <v>0.206188621740603</v>
      </c>
      <c r="R507" s="8" t="str">
        <f aca="false">IF(OR(N507&gt;$U$3,N507&lt;$U$2),"Sales Outlier",IF(OR(O507&gt;$U$6,O507&lt;$U$4),"Profit Outlier",""))</f>
        <v/>
      </c>
    </row>
    <row r="508" customFormat="false" ht="15" hidden="false" customHeight="true" outlineLevel="0" collapsed="false">
      <c r="A508" s="8" t="s">
        <v>716</v>
      </c>
      <c r="B508" s="11" t="n">
        <v>45511</v>
      </c>
      <c r="C508" s="11" t="n">
        <v>45517</v>
      </c>
      <c r="D508" s="8" t="s">
        <v>719</v>
      </c>
      <c r="E508" s="8" t="s">
        <v>2285</v>
      </c>
      <c r="F508" s="8" t="s">
        <v>147</v>
      </c>
      <c r="G508" s="8" t="s">
        <v>54</v>
      </c>
      <c r="H508" s="8" t="s">
        <v>77</v>
      </c>
      <c r="I508" s="8" t="s">
        <v>127</v>
      </c>
      <c r="J508" s="8" t="s">
        <v>47</v>
      </c>
      <c r="K508" s="8" t="n">
        <v>2</v>
      </c>
      <c r="L508" s="12" t="n">
        <v>845.45</v>
      </c>
      <c r="M508" s="13" t="n">
        <v>0</v>
      </c>
      <c r="N508" s="12" t="n">
        <v>1690.9</v>
      </c>
      <c r="O508" s="12" t="n">
        <v>431.92</v>
      </c>
      <c r="P508" s="8" t="str">
        <f aca="false">TEXT(B508,"mmm-yyyy")</f>
        <v>Aug-2024</v>
      </c>
      <c r="Q508" s="14" t="n">
        <f aca="false">IFERROR(O508/N508,"")</f>
        <v>0.255437932462002</v>
      </c>
      <c r="R508" s="8" t="str">
        <f aca="false">IF(OR(N508&gt;$U$3,N508&lt;$U$2),"Sales Outlier",IF(OR(O508&gt;$U$6,O508&lt;$U$4),"Profit Outlier",""))</f>
        <v/>
      </c>
    </row>
    <row r="509" customFormat="false" ht="15" hidden="false" customHeight="true" outlineLevel="0" collapsed="false">
      <c r="A509" s="8" t="s">
        <v>1706</v>
      </c>
      <c r="B509" s="11" t="n">
        <v>45511</v>
      </c>
      <c r="C509" s="11" t="n">
        <v>45513</v>
      </c>
      <c r="D509" s="8" t="s">
        <v>2282</v>
      </c>
      <c r="E509" s="8" t="s">
        <v>34</v>
      </c>
      <c r="F509" s="8" t="s">
        <v>147</v>
      </c>
      <c r="G509" s="8" t="s">
        <v>326</v>
      </c>
      <c r="H509" s="8" t="s">
        <v>77</v>
      </c>
      <c r="I509" s="8" t="s">
        <v>127</v>
      </c>
      <c r="J509" s="8" t="s">
        <v>29</v>
      </c>
      <c r="K509" s="8" t="n">
        <v>2</v>
      </c>
      <c r="L509" s="12" t="n">
        <v>475.23</v>
      </c>
      <c r="M509" s="13" t="n">
        <v>0.15</v>
      </c>
      <c r="N509" s="12" t="n">
        <v>807.89</v>
      </c>
      <c r="O509" s="12" t="n">
        <v>154.47</v>
      </c>
      <c r="P509" s="8" t="str">
        <f aca="false">TEXT(B509,"mmm-yyyy")</f>
        <v>Aug-2024</v>
      </c>
      <c r="Q509" s="14" t="n">
        <f aca="false">IFERROR(O509/N509,"")</f>
        <v>0.191201772518536</v>
      </c>
      <c r="R509" s="8" t="str">
        <f aca="false">IF(OR(N509&gt;$U$3,N509&lt;$U$2),"Sales Outlier",IF(OR(O509&gt;$U$6,O509&lt;$U$4),"Profit Outlier",""))</f>
        <v/>
      </c>
    </row>
    <row r="510" customFormat="false" ht="15" hidden="false" customHeight="true" outlineLevel="0" collapsed="false">
      <c r="A510" s="8" t="s">
        <v>1286</v>
      </c>
      <c r="B510" s="11" t="n">
        <v>45512</v>
      </c>
      <c r="C510" s="11" t="n">
        <v>45515</v>
      </c>
      <c r="D510" s="8" t="s">
        <v>1288</v>
      </c>
      <c r="E510" s="8" t="s">
        <v>34</v>
      </c>
      <c r="F510" s="8" t="s">
        <v>61</v>
      </c>
      <c r="G510" s="8" t="s">
        <v>62</v>
      </c>
      <c r="H510" s="8" t="s">
        <v>114</v>
      </c>
      <c r="I510" s="8" t="s">
        <v>297</v>
      </c>
      <c r="J510" s="8" t="s">
        <v>47</v>
      </c>
      <c r="K510" s="8" t="n">
        <v>4</v>
      </c>
      <c r="L510" s="12" t="n">
        <v>329.15</v>
      </c>
      <c r="M510" s="13" t="n">
        <v>0</v>
      </c>
      <c r="N510" s="12" t="n">
        <v>1316.6</v>
      </c>
      <c r="O510" s="12" t="n">
        <v>-90.82</v>
      </c>
      <c r="P510" s="8" t="str">
        <f aca="false">TEXT(B510,"mmm-yyyy")</f>
        <v>Aug-2024</v>
      </c>
      <c r="Q510" s="14" t="n">
        <f aca="false">IFERROR(O510/N510,"")</f>
        <v>-0.0689807078839435</v>
      </c>
      <c r="R510" s="8" t="str">
        <f aca="false">IF(OR(N510&gt;$U$3,N510&lt;$U$2),"Sales Outlier",IF(OR(O510&gt;$U$6,O510&lt;$U$4),"Profit Outlier",""))</f>
        <v/>
      </c>
    </row>
    <row r="511" customFormat="false" ht="15" hidden="false" customHeight="true" outlineLevel="0" collapsed="false">
      <c r="A511" s="8" t="s">
        <v>1428</v>
      </c>
      <c r="B511" s="11" t="n">
        <v>45512</v>
      </c>
      <c r="C511" s="11" t="n">
        <v>45516</v>
      </c>
      <c r="D511" s="8" t="s">
        <v>1430</v>
      </c>
      <c r="E511" s="8" t="s">
        <v>52</v>
      </c>
      <c r="F511" s="8" t="s">
        <v>147</v>
      </c>
      <c r="G511" s="8" t="s">
        <v>215</v>
      </c>
      <c r="H511" s="8" t="s">
        <v>132</v>
      </c>
      <c r="I511" s="8" t="s">
        <v>133</v>
      </c>
      <c r="J511" s="8" t="s">
        <v>29</v>
      </c>
      <c r="K511" s="8" t="n">
        <v>3</v>
      </c>
      <c r="L511" s="12" t="n">
        <v>783.1</v>
      </c>
      <c r="M511" s="13" t="n">
        <v>0</v>
      </c>
      <c r="N511" s="12" t="n">
        <v>2349.3</v>
      </c>
      <c r="O511" s="12" t="n">
        <v>23.95</v>
      </c>
      <c r="P511" s="8" t="str">
        <f aca="false">TEXT(B511,"mmm-yyyy")</f>
        <v>Aug-2024</v>
      </c>
      <c r="Q511" s="14" t="n">
        <f aca="false">IFERROR(O511/N511,"")</f>
        <v>0.0101945260290299</v>
      </c>
      <c r="R511" s="8" t="str">
        <f aca="false">IF(OR(N511&gt;$U$3,N511&lt;$U$2),"Sales Outlier",IF(OR(O511&gt;$U$6,O511&lt;$U$4),"Profit Outlier",""))</f>
        <v/>
      </c>
    </row>
    <row r="512" customFormat="false" ht="15" hidden="false" customHeight="true" outlineLevel="0" collapsed="false">
      <c r="A512" s="8" t="s">
        <v>1859</v>
      </c>
      <c r="B512" s="11" t="n">
        <v>45512</v>
      </c>
      <c r="C512" s="11" t="n">
        <v>45516</v>
      </c>
      <c r="D512" s="8" t="s">
        <v>1051</v>
      </c>
      <c r="E512" s="8" t="s">
        <v>2285</v>
      </c>
      <c r="F512" s="8" t="s">
        <v>154</v>
      </c>
      <c r="G512" s="8" t="s">
        <v>102</v>
      </c>
      <c r="H512" s="8" t="s">
        <v>132</v>
      </c>
      <c r="I512" s="8" t="s">
        <v>56</v>
      </c>
      <c r="J512" s="8" t="s">
        <v>47</v>
      </c>
      <c r="K512" s="8" t="n">
        <v>2</v>
      </c>
      <c r="L512" s="12" t="n">
        <v>479.13</v>
      </c>
      <c r="M512" s="13" t="n">
        <v>0</v>
      </c>
      <c r="N512" s="12" t="n">
        <v>958.26</v>
      </c>
      <c r="O512" s="12" t="n">
        <v>332.24</v>
      </c>
      <c r="P512" s="8" t="str">
        <f aca="false">TEXT(B512,"mmm-yyyy")</f>
        <v>Aug-2024</v>
      </c>
      <c r="Q512" s="14" t="n">
        <f aca="false">IFERROR(O512/N512,"")</f>
        <v>0.346711748377267</v>
      </c>
      <c r="R512" s="8" t="str">
        <f aca="false">IF(OR(N512&gt;$U$3,N512&lt;$U$2),"Sales Outlier",IF(OR(O512&gt;$U$6,O512&lt;$U$4),"Profit Outlier",""))</f>
        <v/>
      </c>
    </row>
    <row r="513" customFormat="false" ht="15" hidden="false" customHeight="true" outlineLevel="0" collapsed="false">
      <c r="A513" s="8" t="s">
        <v>1904</v>
      </c>
      <c r="B513" s="11" t="n">
        <v>45513</v>
      </c>
      <c r="C513" s="11" t="n">
        <v>45514</v>
      </c>
      <c r="D513" s="8" t="s">
        <v>2305</v>
      </c>
      <c r="E513" s="8" t="s">
        <v>52</v>
      </c>
      <c r="F513" s="8" t="s">
        <v>154</v>
      </c>
      <c r="G513" s="8" t="s">
        <v>119</v>
      </c>
      <c r="H513" s="8" t="s">
        <v>77</v>
      </c>
      <c r="I513" s="8" t="s">
        <v>127</v>
      </c>
      <c r="J513" s="8" t="s">
        <v>29</v>
      </c>
      <c r="K513" s="8" t="n">
        <v>4</v>
      </c>
      <c r="L513" s="12" t="n">
        <v>365.83</v>
      </c>
      <c r="M513" s="13" t="n">
        <v>0</v>
      </c>
      <c r="N513" s="12" t="n">
        <v>1463.32</v>
      </c>
      <c r="O513" s="12" t="n">
        <v>120.63</v>
      </c>
      <c r="P513" s="8" t="str">
        <f aca="false">TEXT(B513,"mmm-yyyy")</f>
        <v>Aug-2024</v>
      </c>
      <c r="Q513" s="14" t="n">
        <f aca="false">IFERROR(O513/N513,"")</f>
        <v>0.082435830850395</v>
      </c>
      <c r="R513" s="8" t="str">
        <f aca="false">IF(OR(N513&gt;$U$3,N513&lt;$U$2),"Sales Outlier",IF(OR(O513&gt;$U$6,O513&lt;$U$4),"Profit Outlier",""))</f>
        <v/>
      </c>
    </row>
    <row r="514" customFormat="false" ht="15" hidden="false" customHeight="true" outlineLevel="0" collapsed="false">
      <c r="A514" s="8" t="s">
        <v>1709</v>
      </c>
      <c r="B514" s="11" t="n">
        <v>45513</v>
      </c>
      <c r="C514" s="11" t="n">
        <v>45517</v>
      </c>
      <c r="D514" s="8" t="s">
        <v>898</v>
      </c>
      <c r="E514" s="8" t="s">
        <v>34</v>
      </c>
      <c r="F514" s="8" t="s">
        <v>126</v>
      </c>
      <c r="G514" s="8" t="s">
        <v>82</v>
      </c>
      <c r="H514" s="8" t="s">
        <v>77</v>
      </c>
      <c r="I514" s="8" t="s">
        <v>121</v>
      </c>
      <c r="J514" s="8" t="s">
        <v>47</v>
      </c>
      <c r="K514" s="8" t="n">
        <v>1</v>
      </c>
      <c r="L514" s="12" t="n">
        <v>553.62</v>
      </c>
      <c r="M514" s="13" t="n">
        <v>0</v>
      </c>
      <c r="N514" s="12" t="n">
        <v>553.62</v>
      </c>
      <c r="O514" s="12" t="n">
        <v>45.15</v>
      </c>
      <c r="P514" s="8" t="str">
        <f aca="false">TEXT(B514,"mmm-yyyy")</f>
        <v>Aug-2024</v>
      </c>
      <c r="Q514" s="14" t="n">
        <f aca="false">IFERROR(O514/N514,"")</f>
        <v>0.0815541346049637</v>
      </c>
      <c r="R514" s="8" t="str">
        <f aca="false">IF(OR(N514&gt;$U$3,N514&lt;$U$2),"Sales Outlier",IF(OR(O514&gt;$U$6,O514&lt;$U$4),"Profit Outlier",""))</f>
        <v/>
      </c>
    </row>
    <row r="515" customFormat="false" ht="15" hidden="false" customHeight="true" outlineLevel="0" collapsed="false">
      <c r="A515" s="8" t="s">
        <v>547</v>
      </c>
      <c r="B515" s="11" t="n">
        <v>45515</v>
      </c>
      <c r="C515" s="11" t="n">
        <v>45516</v>
      </c>
      <c r="D515" s="8" t="s">
        <v>550</v>
      </c>
      <c r="E515" s="8" t="s">
        <v>52</v>
      </c>
      <c r="F515" s="8" t="s">
        <v>61</v>
      </c>
      <c r="G515" s="8" t="s">
        <v>62</v>
      </c>
      <c r="H515" s="8" t="s">
        <v>114</v>
      </c>
      <c r="I515" s="8" t="s">
        <v>201</v>
      </c>
      <c r="J515" s="8" t="s">
        <v>64</v>
      </c>
      <c r="K515" s="8" t="n">
        <v>2</v>
      </c>
      <c r="L515" s="12" t="n">
        <v>548.44</v>
      </c>
      <c r="M515" s="13" t="n">
        <v>0.15</v>
      </c>
      <c r="N515" s="12" t="n">
        <v>932.35</v>
      </c>
      <c r="O515" s="12" t="n">
        <v>304.09</v>
      </c>
      <c r="P515" s="8" t="str">
        <f aca="false">TEXT(B515,"mmm-yyyy")</f>
        <v>Aug-2024</v>
      </c>
      <c r="Q515" s="14" t="n">
        <f aca="false">IFERROR(O515/N515,"")</f>
        <v>0.326154341180887</v>
      </c>
      <c r="R515" s="8" t="str">
        <f aca="false">IF(OR(N515&gt;$U$3,N515&lt;$U$2),"Sales Outlier",IF(OR(O515&gt;$U$6,O515&lt;$U$4),"Profit Outlier",""))</f>
        <v/>
      </c>
    </row>
    <row r="516" customFormat="false" ht="15" hidden="false" customHeight="true" outlineLevel="0" collapsed="false">
      <c r="A516" s="8" t="s">
        <v>720</v>
      </c>
      <c r="B516" s="11" t="n">
        <v>45516</v>
      </c>
      <c r="C516" s="11" t="n">
        <v>45518</v>
      </c>
      <c r="D516" s="8" t="s">
        <v>723</v>
      </c>
      <c r="E516" s="8" t="s">
        <v>24</v>
      </c>
      <c r="F516" s="8" t="s">
        <v>147</v>
      </c>
      <c r="G516" s="8" t="s">
        <v>54</v>
      </c>
      <c r="H516" s="8" t="s">
        <v>132</v>
      </c>
      <c r="I516" s="8" t="s">
        <v>56</v>
      </c>
      <c r="J516" s="8" t="s">
        <v>39</v>
      </c>
      <c r="K516" s="8" t="n">
        <v>2</v>
      </c>
      <c r="L516" s="12" t="n">
        <v>319.6</v>
      </c>
      <c r="M516" s="13" t="n">
        <v>0.2</v>
      </c>
      <c r="N516" s="12" t="n">
        <v>511.36</v>
      </c>
      <c r="O516" s="12" t="n">
        <v>39.68</v>
      </c>
      <c r="P516" s="8" t="str">
        <f aca="false">TEXT(B516,"mmm-yyyy")</f>
        <v>Aug-2024</v>
      </c>
      <c r="Q516" s="14" t="n">
        <f aca="false">IFERROR(O516/N516,"")</f>
        <v>0.0775969962453066</v>
      </c>
      <c r="R516" s="8" t="str">
        <f aca="false">IF(OR(N516&gt;$U$3,N516&lt;$U$2),"Sales Outlier",IF(OR(O516&gt;$U$6,O516&lt;$U$4),"Profit Outlier",""))</f>
        <v/>
      </c>
    </row>
    <row r="517" customFormat="false" ht="15" hidden="false" customHeight="true" outlineLevel="0" collapsed="false">
      <c r="A517" s="8" t="s">
        <v>1211</v>
      </c>
      <c r="B517" s="11" t="n">
        <v>45518</v>
      </c>
      <c r="C517" s="11" t="n">
        <v>45522</v>
      </c>
      <c r="D517" s="8" t="s">
        <v>1214</v>
      </c>
      <c r="E517" s="8" t="s">
        <v>52</v>
      </c>
      <c r="F517" s="8" t="s">
        <v>126</v>
      </c>
      <c r="G517" s="8" t="s">
        <v>89</v>
      </c>
      <c r="H517" s="8" t="s">
        <v>114</v>
      </c>
      <c r="I517" s="8" t="s">
        <v>201</v>
      </c>
      <c r="J517" s="8" t="s">
        <v>47</v>
      </c>
      <c r="K517" s="8" t="n">
        <v>5</v>
      </c>
      <c r="L517" s="12" t="n">
        <v>995.12</v>
      </c>
      <c r="M517" s="13" t="n">
        <v>0</v>
      </c>
      <c r="N517" s="12" t="n">
        <v>4975.6</v>
      </c>
      <c r="O517" s="12" t="n">
        <v>-142.8</v>
      </c>
      <c r="P517" s="8" t="str">
        <f aca="false">TEXT(B517,"mmm-yyyy")</f>
        <v>Aug-2024</v>
      </c>
      <c r="Q517" s="14" t="n">
        <f aca="false">IFERROR(O517/N517,"")</f>
        <v>-0.0287000562746201</v>
      </c>
      <c r="R517" s="8" t="str">
        <f aca="false">IF(OR(N517&gt;$U$3,N517&lt;$U$2),"Sales Outlier",IF(OR(O517&gt;$U$6,O517&lt;$U$4),"Profit Outlier",""))</f>
        <v/>
      </c>
    </row>
    <row r="518" customFormat="false" ht="15" hidden="false" customHeight="true" outlineLevel="0" collapsed="false">
      <c r="A518" s="8" t="s">
        <v>1321</v>
      </c>
      <c r="B518" s="11" t="n">
        <v>45521</v>
      </c>
      <c r="C518" s="11" t="n">
        <v>45528</v>
      </c>
      <c r="D518" s="8" t="s">
        <v>1324</v>
      </c>
      <c r="E518" s="8" t="s">
        <v>2285</v>
      </c>
      <c r="F518" s="8" t="s">
        <v>154</v>
      </c>
      <c r="G518" s="8" t="s">
        <v>102</v>
      </c>
      <c r="H518" s="8" t="s">
        <v>45</v>
      </c>
      <c r="I518" s="8" t="s">
        <v>28</v>
      </c>
      <c r="J518" s="8" t="s">
        <v>47</v>
      </c>
      <c r="K518" s="8" t="n">
        <v>2</v>
      </c>
      <c r="L518" s="12" t="n">
        <v>886.17</v>
      </c>
      <c r="M518" s="13" t="n">
        <v>0</v>
      </c>
      <c r="N518" s="12" t="n">
        <v>886.17</v>
      </c>
      <c r="O518" s="12" t="n">
        <v>-66.9</v>
      </c>
      <c r="P518" s="8" t="str">
        <f aca="false">TEXT(B518,"mmm-yyyy")</f>
        <v>Aug-2024</v>
      </c>
      <c r="Q518" s="14" t="n">
        <f aca="false">IFERROR(O518/N518,"")</f>
        <v>-0.0754934154846136</v>
      </c>
      <c r="R518" s="8" t="str">
        <f aca="false">IF(OR(N518&gt;$U$3,N518&lt;$U$2),"Sales Outlier",IF(OR(O518&gt;$U$6,O518&lt;$U$4),"Profit Outlier",""))</f>
        <v/>
      </c>
    </row>
    <row r="519" customFormat="false" ht="15" hidden="false" customHeight="true" outlineLevel="0" collapsed="false">
      <c r="A519" s="8" t="s">
        <v>1226</v>
      </c>
      <c r="B519" s="11" t="n">
        <v>45521</v>
      </c>
      <c r="C519" s="11" t="n">
        <v>45528</v>
      </c>
      <c r="D519" s="8" t="s">
        <v>1229</v>
      </c>
      <c r="E519" s="8" t="s">
        <v>24</v>
      </c>
      <c r="F519" s="8" t="s">
        <v>61</v>
      </c>
      <c r="G519" s="8" t="s">
        <v>62</v>
      </c>
      <c r="H519" s="8" t="s">
        <v>37</v>
      </c>
      <c r="I519" s="8" t="s">
        <v>527</v>
      </c>
      <c r="J519" s="8" t="s">
        <v>29</v>
      </c>
      <c r="K519" s="8" t="n">
        <v>5</v>
      </c>
      <c r="L519" s="12" t="n">
        <v>121.3</v>
      </c>
      <c r="M519" s="13" t="n">
        <v>0.1</v>
      </c>
      <c r="N519" s="12" t="n">
        <v>545.85</v>
      </c>
      <c r="O519" s="12" t="n">
        <v>116.36</v>
      </c>
      <c r="P519" s="8" t="str">
        <f aca="false">TEXT(B519,"mmm-yyyy")</f>
        <v>Aug-2024</v>
      </c>
      <c r="Q519" s="14" t="n">
        <f aca="false">IFERROR(O519/N519,"")</f>
        <v>0.213172116881927</v>
      </c>
      <c r="R519" s="8" t="str">
        <f aca="false">IF(OR(N519&gt;$U$3,N519&lt;$U$2),"Sales Outlier",IF(OR(O519&gt;$U$6,O519&lt;$U$4),"Profit Outlier",""))</f>
        <v/>
      </c>
    </row>
    <row r="520" customFormat="false" ht="15" hidden="false" customHeight="true" outlineLevel="0" collapsed="false">
      <c r="A520" s="8" t="s">
        <v>505</v>
      </c>
      <c r="B520" s="11" t="n">
        <v>45522</v>
      </c>
      <c r="C520" s="11" t="n">
        <v>45526</v>
      </c>
      <c r="D520" s="8" t="s">
        <v>271</v>
      </c>
      <c r="E520" s="8" t="s">
        <v>34</v>
      </c>
      <c r="F520" s="8" t="s">
        <v>147</v>
      </c>
      <c r="G520" s="8" t="s">
        <v>215</v>
      </c>
      <c r="H520" s="8" t="s">
        <v>37</v>
      </c>
      <c r="I520" s="8" t="s">
        <v>404</v>
      </c>
      <c r="J520" s="8" t="s">
        <v>29</v>
      </c>
      <c r="K520" s="8" t="n">
        <v>1</v>
      </c>
      <c r="L520" s="12" t="n">
        <v>720.68</v>
      </c>
      <c r="M520" s="13" t="n">
        <v>0.1</v>
      </c>
      <c r="N520" s="12" t="n">
        <v>648.61</v>
      </c>
      <c r="O520" s="12" t="n">
        <v>84.73</v>
      </c>
      <c r="P520" s="8" t="str">
        <f aca="false">TEXT(B520,"mmm-yyyy")</f>
        <v>Aug-2024</v>
      </c>
      <c r="Q520" s="14" t="n">
        <f aca="false">IFERROR(O520/N520,"")</f>
        <v>0.13063320022818</v>
      </c>
      <c r="R520" s="8" t="str">
        <f aca="false">IF(OR(N520&gt;$U$3,N520&lt;$U$2),"Sales Outlier",IF(OR(O520&gt;$U$6,O520&lt;$U$4),"Profit Outlier",""))</f>
        <v/>
      </c>
    </row>
    <row r="521" customFormat="false" ht="15" hidden="false" customHeight="true" outlineLevel="0" collapsed="false">
      <c r="A521" s="8" t="s">
        <v>916</v>
      </c>
      <c r="B521" s="11" t="n">
        <v>45523</v>
      </c>
      <c r="C521" s="11" t="n">
        <v>45524</v>
      </c>
      <c r="D521" s="8" t="s">
        <v>919</v>
      </c>
      <c r="E521" s="8" t="s">
        <v>34</v>
      </c>
      <c r="F521" s="8" t="s">
        <v>61</v>
      </c>
      <c r="G521" s="8" t="s">
        <v>76</v>
      </c>
      <c r="H521" s="8" t="s">
        <v>45</v>
      </c>
      <c r="I521" s="8" t="s">
        <v>160</v>
      </c>
      <c r="J521" s="8" t="s">
        <v>64</v>
      </c>
      <c r="K521" s="8" t="n">
        <v>4</v>
      </c>
      <c r="L521" s="12" t="n">
        <v>1128.23</v>
      </c>
      <c r="M521" s="13" t="n">
        <v>0.15</v>
      </c>
      <c r="N521" s="12" t="n">
        <v>3835.98</v>
      </c>
      <c r="O521" s="12" t="n">
        <v>592.39</v>
      </c>
      <c r="P521" s="8" t="str">
        <f aca="false">TEXT(B521,"mmm-yyyy")</f>
        <v>Aug-2024</v>
      </c>
      <c r="Q521" s="14" t="n">
        <f aca="false">IFERROR(O521/N521,"")</f>
        <v>0.1544298979661</v>
      </c>
      <c r="R521" s="8" t="str">
        <f aca="false">IF(OR(N521&gt;$U$3,N521&lt;$U$2),"Sales Outlier",IF(OR(O521&gt;$U$6,O521&lt;$U$4),"Profit Outlier",""))</f>
        <v/>
      </c>
    </row>
    <row r="522" customFormat="false" ht="15" hidden="false" customHeight="true" outlineLevel="0" collapsed="false">
      <c r="A522" s="8" t="s">
        <v>1193</v>
      </c>
      <c r="B522" s="11" t="n">
        <v>45524</v>
      </c>
      <c r="C522" s="11" t="n">
        <v>45525</v>
      </c>
      <c r="D522" s="8" t="s">
        <v>1195</v>
      </c>
      <c r="E522" s="8" t="s">
        <v>2285</v>
      </c>
      <c r="F522" s="8" t="s">
        <v>154</v>
      </c>
      <c r="G522" s="8" t="s">
        <v>102</v>
      </c>
      <c r="H522" s="8" t="s">
        <v>132</v>
      </c>
      <c r="I522" s="8" t="s">
        <v>220</v>
      </c>
      <c r="J522" s="8" t="s">
        <v>39</v>
      </c>
      <c r="K522" s="8" t="n">
        <v>2</v>
      </c>
      <c r="L522" s="12" t="n">
        <v>624.99</v>
      </c>
      <c r="M522" s="13" t="n">
        <v>0.05</v>
      </c>
      <c r="N522" s="12" t="n">
        <v>593.74</v>
      </c>
      <c r="O522" s="12" t="n">
        <v>155.58</v>
      </c>
      <c r="P522" s="8" t="str">
        <f aca="false">TEXT(B522,"mmm-yyyy")</f>
        <v>Aug-2024</v>
      </c>
      <c r="Q522" s="14" t="n">
        <f aca="false">IFERROR(O522/N522,"")</f>
        <v>0.262033886886516</v>
      </c>
      <c r="R522" s="8" t="str">
        <f aca="false">IF(OR(N522&gt;$U$3,N522&lt;$U$2),"Sales Outlier",IF(OR(O522&gt;$U$6,O522&lt;$U$4),"Profit Outlier",""))</f>
        <v/>
      </c>
    </row>
    <row r="523" customFormat="false" ht="15" hidden="false" customHeight="true" outlineLevel="0" collapsed="false">
      <c r="A523" s="8" t="s">
        <v>79</v>
      </c>
      <c r="B523" s="11" t="n">
        <v>45524</v>
      </c>
      <c r="C523" s="11" t="n">
        <v>45530</v>
      </c>
      <c r="D523" s="8" t="s">
        <v>2282</v>
      </c>
      <c r="E523" s="8" t="s">
        <v>24</v>
      </c>
      <c r="F523" s="8" t="s">
        <v>126</v>
      </c>
      <c r="G523" s="8" t="s">
        <v>82</v>
      </c>
      <c r="H523" s="8" t="s">
        <v>37</v>
      </c>
      <c r="I523" s="8" t="s">
        <v>84</v>
      </c>
      <c r="J523" s="8" t="s">
        <v>39</v>
      </c>
      <c r="K523" s="8" t="n">
        <v>5</v>
      </c>
      <c r="L523" s="12" t="n">
        <v>767.54</v>
      </c>
      <c r="M523" s="13" t="n">
        <v>0</v>
      </c>
      <c r="N523" s="12" t="n">
        <v>3837.7</v>
      </c>
      <c r="O523" s="12" t="n">
        <v>396.96</v>
      </c>
      <c r="P523" s="8" t="str">
        <f aca="false">TEXT(B523,"mmm-yyyy")</f>
        <v>Aug-2024</v>
      </c>
      <c r="Q523" s="14" t="n">
        <f aca="false">IFERROR(O523/N523,"")</f>
        <v>0.103436954425828</v>
      </c>
      <c r="R523" s="8" t="str">
        <f aca="false">IF(OR(N523&gt;$U$3,N523&lt;$U$2),"Sales Outlier",IF(OR(O523&gt;$U$6,O523&lt;$U$4),"Profit Outlier",""))</f>
        <v/>
      </c>
    </row>
    <row r="524" customFormat="false" ht="15" hidden="false" customHeight="true" outlineLevel="0" collapsed="false">
      <c r="A524" s="8" t="s">
        <v>1804</v>
      </c>
      <c r="B524" s="11" t="n">
        <v>45524</v>
      </c>
      <c r="C524" s="11" t="n">
        <v>45531</v>
      </c>
      <c r="D524" s="8" t="s">
        <v>1700</v>
      </c>
      <c r="E524" s="8" t="s">
        <v>24</v>
      </c>
      <c r="F524" s="8" t="s">
        <v>154</v>
      </c>
      <c r="G524" s="8" t="s">
        <v>119</v>
      </c>
      <c r="H524" s="8" t="s">
        <v>37</v>
      </c>
      <c r="I524" s="8" t="s">
        <v>143</v>
      </c>
      <c r="J524" s="8" t="s">
        <v>39</v>
      </c>
      <c r="K524" s="8" t="n">
        <v>4</v>
      </c>
      <c r="L524" s="12" t="n">
        <v>749.76</v>
      </c>
      <c r="M524" s="13" t="n">
        <v>0.1</v>
      </c>
      <c r="N524" s="12" t="n">
        <v>2699.14</v>
      </c>
      <c r="O524" s="12" t="n">
        <v>-71.62</v>
      </c>
      <c r="P524" s="8" t="str">
        <f aca="false">TEXT(B524,"mmm-yyyy")</f>
        <v>Aug-2024</v>
      </c>
      <c r="Q524" s="14" t="n">
        <f aca="false">IFERROR(O524/N524,"")</f>
        <v>-0.0265343776165742</v>
      </c>
      <c r="R524" s="8" t="str">
        <f aca="false">IF(OR(N524&gt;$U$3,N524&lt;$U$2),"Sales Outlier",IF(OR(O524&gt;$U$6,O524&lt;$U$4),"Profit Outlier",""))</f>
        <v/>
      </c>
    </row>
    <row r="525" customFormat="false" ht="15" hidden="false" customHeight="true" outlineLevel="0" collapsed="false">
      <c r="A525" s="8" t="s">
        <v>1039</v>
      </c>
      <c r="B525" s="11" t="n">
        <v>45524</v>
      </c>
      <c r="C525" s="11" t="n">
        <v>45528</v>
      </c>
      <c r="D525" s="8" t="s">
        <v>1040</v>
      </c>
      <c r="E525" s="8" t="s">
        <v>2285</v>
      </c>
      <c r="F525" s="8" t="s">
        <v>154</v>
      </c>
      <c r="G525" s="8" t="s">
        <v>102</v>
      </c>
      <c r="H525" s="8" t="s">
        <v>114</v>
      </c>
      <c r="I525" s="8" t="s">
        <v>115</v>
      </c>
      <c r="J525" s="8" t="s">
        <v>39</v>
      </c>
      <c r="K525" s="8" t="n">
        <v>2</v>
      </c>
      <c r="L525" s="12" t="n">
        <v>143.91</v>
      </c>
      <c r="M525" s="13" t="n">
        <v>0.05</v>
      </c>
      <c r="N525" s="12" t="n">
        <v>136.71</v>
      </c>
      <c r="O525" s="12" t="n">
        <v>21.02</v>
      </c>
      <c r="P525" s="8" t="str">
        <f aca="false">TEXT(B525,"mmm-yyyy")</f>
        <v>Aug-2024</v>
      </c>
      <c r="Q525" s="14" t="n">
        <f aca="false">IFERROR(O525/N525,"")</f>
        <v>0.153756126106357</v>
      </c>
      <c r="R525" s="8" t="str">
        <f aca="false">IF(OR(N525&gt;$U$3,N525&lt;$U$2),"Sales Outlier",IF(OR(O525&gt;$U$6,O525&lt;$U$4),"Profit Outlier",""))</f>
        <v/>
      </c>
    </row>
    <row r="526" customFormat="false" ht="15" hidden="false" customHeight="true" outlineLevel="0" collapsed="false">
      <c r="A526" s="8" t="s">
        <v>949</v>
      </c>
      <c r="B526" s="11" t="n">
        <v>45524</v>
      </c>
      <c r="C526" s="11" t="n">
        <v>45528</v>
      </c>
      <c r="D526" s="8" t="s">
        <v>952</v>
      </c>
      <c r="E526" s="8" t="s">
        <v>2285</v>
      </c>
      <c r="F526" s="8" t="s">
        <v>61</v>
      </c>
      <c r="G526" s="8" t="s">
        <v>36</v>
      </c>
      <c r="H526" s="8" t="s">
        <v>45</v>
      </c>
      <c r="I526" s="8" t="s">
        <v>46</v>
      </c>
      <c r="J526" s="8" t="s">
        <v>29</v>
      </c>
      <c r="K526" s="8" t="n">
        <v>3</v>
      </c>
      <c r="L526" s="12" t="n">
        <v>839.9</v>
      </c>
      <c r="M526" s="13" t="n">
        <v>0.05</v>
      </c>
      <c r="N526" s="12" t="n">
        <v>2393.71</v>
      </c>
      <c r="O526" s="12" t="n">
        <v>241.89</v>
      </c>
      <c r="P526" s="8" t="str">
        <f aca="false">TEXT(B526,"mmm-yyyy")</f>
        <v>Aug-2024</v>
      </c>
      <c r="Q526" s="14" t="n">
        <f aca="false">IFERROR(O526/N526,"")</f>
        <v>0.101052341344607</v>
      </c>
      <c r="R526" s="8" t="str">
        <f aca="false">IF(OR(N526&gt;$U$3,N526&lt;$U$2),"Sales Outlier",IF(OR(O526&gt;$U$6,O526&lt;$U$4),"Profit Outlier",""))</f>
        <v/>
      </c>
    </row>
    <row r="527" customFormat="false" ht="15" hidden="false" customHeight="true" outlineLevel="0" collapsed="false">
      <c r="A527" s="8" t="s">
        <v>2050</v>
      </c>
      <c r="B527" s="11" t="n">
        <v>45525</v>
      </c>
      <c r="C527" s="11" t="n">
        <v>45526</v>
      </c>
      <c r="D527" s="8" t="s">
        <v>2053</v>
      </c>
      <c r="E527" s="8" t="s">
        <v>2285</v>
      </c>
      <c r="F527" s="8" t="s">
        <v>154</v>
      </c>
      <c r="G527" s="8" t="s">
        <v>182</v>
      </c>
      <c r="H527" s="8" t="s">
        <v>77</v>
      </c>
      <c r="I527" s="8" t="s">
        <v>127</v>
      </c>
      <c r="J527" s="8" t="s">
        <v>47</v>
      </c>
      <c r="K527" s="8" t="n">
        <v>1</v>
      </c>
      <c r="L527" s="12" t="n">
        <v>205</v>
      </c>
      <c r="M527" s="13" t="n">
        <v>0.1</v>
      </c>
      <c r="N527" s="12" t="n">
        <v>184.5</v>
      </c>
      <c r="O527" s="12" t="n">
        <v>31.05</v>
      </c>
      <c r="P527" s="8" t="str">
        <f aca="false">TEXT(B527,"mmm-yyyy")</f>
        <v>Aug-2024</v>
      </c>
      <c r="Q527" s="14" t="n">
        <f aca="false">IFERROR(O527/N527,"")</f>
        <v>0.168292682926829</v>
      </c>
      <c r="R527" s="8" t="str">
        <f aca="false">IF(OR(N527&gt;$U$3,N527&lt;$U$2),"Sales Outlier",IF(OR(O527&gt;$U$6,O527&lt;$U$4),"Profit Outlier",""))</f>
        <v/>
      </c>
    </row>
    <row r="528" customFormat="false" ht="15" hidden="false" customHeight="true" outlineLevel="0" collapsed="false">
      <c r="A528" s="8" t="s">
        <v>830</v>
      </c>
      <c r="B528" s="11" t="n">
        <v>45525</v>
      </c>
      <c r="C528" s="11" t="n">
        <v>45528</v>
      </c>
      <c r="D528" s="8" t="s">
        <v>367</v>
      </c>
      <c r="E528" s="8" t="s">
        <v>24</v>
      </c>
      <c r="F528" s="8" t="s">
        <v>61</v>
      </c>
      <c r="G528" s="8" t="s">
        <v>76</v>
      </c>
      <c r="H528" s="8" t="s">
        <v>45</v>
      </c>
      <c r="I528" s="8" t="s">
        <v>149</v>
      </c>
      <c r="J528" s="8" t="s">
        <v>64</v>
      </c>
      <c r="K528" s="8" t="n">
        <v>2</v>
      </c>
      <c r="L528" s="12" t="n">
        <v>186.28</v>
      </c>
      <c r="M528" s="13" t="n">
        <v>0.2</v>
      </c>
      <c r="N528" s="12" t="n">
        <v>298.05</v>
      </c>
      <c r="O528" s="12" t="n">
        <v>46.81</v>
      </c>
      <c r="P528" s="8" t="str">
        <f aca="false">TEXT(B528,"mmm-yyyy")</f>
        <v>Aug-2024</v>
      </c>
      <c r="Q528" s="14" t="n">
        <f aca="false">IFERROR(O528/N528,"")</f>
        <v>0.157054185539339</v>
      </c>
      <c r="R528" s="8" t="str">
        <f aca="false">IF(OR(N528&gt;$U$3,N528&lt;$U$2),"Sales Outlier",IF(OR(O528&gt;$U$6,O528&lt;$U$4),"Profit Outlier",""))</f>
        <v/>
      </c>
    </row>
    <row r="529" customFormat="false" ht="15" hidden="false" customHeight="true" outlineLevel="0" collapsed="false">
      <c r="A529" s="8" t="s">
        <v>1746</v>
      </c>
      <c r="B529" s="11" t="n">
        <v>45526</v>
      </c>
      <c r="C529" s="11" t="n">
        <v>45528</v>
      </c>
      <c r="D529" s="8" t="s">
        <v>1748</v>
      </c>
      <c r="E529" s="8" t="s">
        <v>34</v>
      </c>
      <c r="F529" s="8" t="s">
        <v>154</v>
      </c>
      <c r="G529" s="8" t="s">
        <v>119</v>
      </c>
      <c r="H529" s="8" t="s">
        <v>114</v>
      </c>
      <c r="I529" s="8" t="s">
        <v>201</v>
      </c>
      <c r="J529" s="8" t="s">
        <v>29</v>
      </c>
      <c r="K529" s="8" t="n">
        <v>3</v>
      </c>
      <c r="L529" s="12" t="n">
        <v>678.08</v>
      </c>
      <c r="M529" s="13" t="n">
        <v>0</v>
      </c>
      <c r="N529" s="12" t="n">
        <v>2034.24</v>
      </c>
      <c r="O529" s="12" t="n">
        <v>235.74</v>
      </c>
      <c r="P529" s="8" t="str">
        <f aca="false">TEXT(B529,"mmm-yyyy")</f>
        <v>Aug-2024</v>
      </c>
      <c r="Q529" s="14" t="n">
        <f aca="false">IFERROR(O529/N529,"")</f>
        <v>0.115886031146767</v>
      </c>
      <c r="R529" s="8" t="str">
        <f aca="false">IF(OR(N529&gt;$U$3,N529&lt;$U$2),"Sales Outlier",IF(OR(O529&gt;$U$6,O529&lt;$U$4),"Profit Outlier",""))</f>
        <v/>
      </c>
    </row>
    <row r="530" customFormat="false" ht="15" hidden="false" customHeight="true" outlineLevel="0" collapsed="false">
      <c r="A530" s="8" t="s">
        <v>409</v>
      </c>
      <c r="B530" s="11" t="n">
        <v>45527</v>
      </c>
      <c r="C530" s="11" t="n">
        <v>45533</v>
      </c>
      <c r="D530" s="8" t="s">
        <v>412</v>
      </c>
      <c r="E530" s="8" t="s">
        <v>2285</v>
      </c>
      <c r="F530" s="8" t="s">
        <v>126</v>
      </c>
      <c r="G530" s="8" t="s">
        <v>89</v>
      </c>
      <c r="H530" s="8" t="s">
        <v>114</v>
      </c>
      <c r="I530" s="8" t="s">
        <v>109</v>
      </c>
      <c r="J530" s="8" t="s">
        <v>47</v>
      </c>
      <c r="K530" s="8" t="n">
        <v>2</v>
      </c>
      <c r="L530" s="12" t="n">
        <v>747.18</v>
      </c>
      <c r="M530" s="13" t="n">
        <v>0.15</v>
      </c>
      <c r="N530" s="12" t="n">
        <v>1270.21</v>
      </c>
      <c r="O530" s="12" t="n">
        <v>313.59</v>
      </c>
      <c r="P530" s="8" t="str">
        <f aca="false">TEXT(B530,"mmm-yyyy")</f>
        <v>Aug-2024</v>
      </c>
      <c r="Q530" s="14" t="n">
        <f aca="false">IFERROR(O530/N530,"")</f>
        <v>0.246880437093079</v>
      </c>
      <c r="R530" s="8" t="str">
        <f aca="false">IF(OR(N530&gt;$U$3,N530&lt;$U$2),"Sales Outlier",IF(OR(O530&gt;$U$6,O530&lt;$U$4),"Profit Outlier",""))</f>
        <v/>
      </c>
    </row>
    <row r="531" customFormat="false" ht="15" hidden="false" customHeight="true" outlineLevel="0" collapsed="false">
      <c r="A531" s="8" t="s">
        <v>1784</v>
      </c>
      <c r="B531" s="11" t="n">
        <v>45529</v>
      </c>
      <c r="C531" s="11" t="n">
        <v>45534</v>
      </c>
      <c r="D531" s="8" t="s">
        <v>2053</v>
      </c>
      <c r="E531" s="8" t="s">
        <v>24</v>
      </c>
      <c r="F531" s="8" t="s">
        <v>126</v>
      </c>
      <c r="G531" s="8" t="s">
        <v>82</v>
      </c>
      <c r="H531" s="8" t="s">
        <v>132</v>
      </c>
      <c r="I531" s="8" t="s">
        <v>56</v>
      </c>
      <c r="J531" s="8" t="s">
        <v>64</v>
      </c>
      <c r="K531" s="8" t="n">
        <v>2</v>
      </c>
      <c r="L531" s="12" t="n">
        <v>81.51</v>
      </c>
      <c r="M531" s="13" t="n">
        <v>0</v>
      </c>
      <c r="N531" s="12" t="n">
        <v>163.02</v>
      </c>
      <c r="O531" s="12" t="n">
        <v>50.12</v>
      </c>
      <c r="P531" s="8" t="str">
        <f aca="false">TEXT(B531,"mmm-yyyy")</f>
        <v>Aug-2024</v>
      </c>
      <c r="Q531" s="14" t="n">
        <f aca="false">IFERROR(O531/N531,"")</f>
        <v>0.307446939025886</v>
      </c>
      <c r="R531" s="8" t="str">
        <f aca="false">IF(OR(N531&gt;$U$3,N531&lt;$U$2),"Sales Outlier",IF(OR(O531&gt;$U$6,O531&lt;$U$4),"Profit Outlier",""))</f>
        <v/>
      </c>
    </row>
    <row r="532" customFormat="false" ht="15" hidden="false" customHeight="true" outlineLevel="0" collapsed="false">
      <c r="A532" s="8" t="s">
        <v>555</v>
      </c>
      <c r="B532" s="11" t="n">
        <v>45531</v>
      </c>
      <c r="C532" s="11" t="n">
        <v>45538</v>
      </c>
      <c r="D532" s="8" t="s">
        <v>530</v>
      </c>
      <c r="E532" s="8" t="s">
        <v>24</v>
      </c>
      <c r="F532" s="8" t="s">
        <v>126</v>
      </c>
      <c r="G532" s="8" t="s">
        <v>26</v>
      </c>
      <c r="H532" s="8" t="s">
        <v>45</v>
      </c>
      <c r="I532" s="8" t="s">
        <v>160</v>
      </c>
      <c r="J532" s="8" t="s">
        <v>39</v>
      </c>
      <c r="K532" s="8" t="n">
        <v>5</v>
      </c>
      <c r="L532" s="12" t="n">
        <v>55.31</v>
      </c>
      <c r="M532" s="13" t="n">
        <v>0</v>
      </c>
      <c r="N532" s="12" t="n">
        <v>276.55</v>
      </c>
      <c r="O532" s="12" t="n">
        <v>44.54</v>
      </c>
      <c r="P532" s="8" t="str">
        <f aca="false">TEXT(B532,"mmm-yyyy")</f>
        <v>Aug-2024</v>
      </c>
      <c r="Q532" s="14" t="n">
        <f aca="false">IFERROR(O532/N532,"")</f>
        <v>0.161055866931839</v>
      </c>
      <c r="R532" s="8" t="str">
        <f aca="false">IF(OR(N532&gt;$U$3,N532&lt;$U$2),"Sales Outlier",IF(OR(O532&gt;$U$6,O532&lt;$U$4),"Profit Outlier",""))</f>
        <v/>
      </c>
    </row>
    <row r="533" customFormat="false" ht="15" hidden="false" customHeight="true" outlineLevel="0" collapsed="false">
      <c r="A533" s="8" t="s">
        <v>528</v>
      </c>
      <c r="B533" s="11" t="n">
        <v>45533</v>
      </c>
      <c r="C533" s="11" t="n">
        <v>45535</v>
      </c>
      <c r="D533" s="8" t="s">
        <v>530</v>
      </c>
      <c r="E533" s="8" t="s">
        <v>2285</v>
      </c>
      <c r="F533" s="8" t="s">
        <v>61</v>
      </c>
      <c r="G533" s="8" t="s">
        <v>36</v>
      </c>
      <c r="H533" s="8" t="s">
        <v>132</v>
      </c>
      <c r="I533" s="8" t="s">
        <v>220</v>
      </c>
      <c r="J533" s="8" t="s">
        <v>29</v>
      </c>
      <c r="K533" s="8" t="n">
        <v>1</v>
      </c>
      <c r="L533" s="12" t="n">
        <v>138.1</v>
      </c>
      <c r="M533" s="13" t="n">
        <v>0.1</v>
      </c>
      <c r="N533" s="12" t="n">
        <v>124.29</v>
      </c>
      <c r="O533" s="12" t="n">
        <v>28.79</v>
      </c>
      <c r="P533" s="8" t="str">
        <f aca="false">TEXT(B533,"mmm-yyyy")</f>
        <v>Aug-2024</v>
      </c>
      <c r="Q533" s="14" t="n">
        <f aca="false">IFERROR(O533/N533,"")</f>
        <v>0.231635690723308</v>
      </c>
      <c r="R533" s="8" t="str">
        <f aca="false">IF(OR(N533&gt;$U$3,N533&lt;$U$2),"Sales Outlier",IF(OR(O533&gt;$U$6,O533&lt;$U$4),"Profit Outlier",""))</f>
        <v/>
      </c>
    </row>
    <row r="534" customFormat="false" ht="15" hidden="false" customHeight="true" outlineLevel="0" collapsed="false">
      <c r="A534" s="8" t="s">
        <v>1514</v>
      </c>
      <c r="B534" s="11" t="n">
        <v>45534</v>
      </c>
      <c r="C534" s="11" t="n">
        <v>45536</v>
      </c>
      <c r="D534" s="8" t="s">
        <v>2282</v>
      </c>
      <c r="E534" s="8" t="s">
        <v>34</v>
      </c>
      <c r="F534" s="8" t="s">
        <v>154</v>
      </c>
      <c r="G534" s="8" t="s">
        <v>182</v>
      </c>
      <c r="H534" s="8" t="s">
        <v>132</v>
      </c>
      <c r="I534" s="8" t="s">
        <v>133</v>
      </c>
      <c r="J534" s="8" t="s">
        <v>29</v>
      </c>
      <c r="K534" s="8" t="n">
        <v>1</v>
      </c>
      <c r="L534" s="12" t="n">
        <v>527.72</v>
      </c>
      <c r="M534" s="13" t="n">
        <v>0</v>
      </c>
      <c r="N534" s="12" t="n">
        <v>527.72</v>
      </c>
      <c r="O534" s="12" t="n">
        <v>38.04</v>
      </c>
      <c r="P534" s="8" t="str">
        <f aca="false">TEXT(B534,"mmm-yyyy")</f>
        <v>Aug-2024</v>
      </c>
      <c r="Q534" s="14" t="n">
        <f aca="false">IFERROR(O534/N534,"")</f>
        <v>0.0720836807397862</v>
      </c>
      <c r="R534" s="8" t="str">
        <f aca="false">IF(OR(N534&gt;$U$3,N534&lt;$U$2),"Sales Outlier",IF(OR(O534&gt;$U$6,O534&lt;$U$4),"Profit Outlier",""))</f>
        <v/>
      </c>
    </row>
    <row r="535" customFormat="false" ht="15" hidden="false" customHeight="true" outlineLevel="0" collapsed="false">
      <c r="A535" s="8" t="s">
        <v>1369</v>
      </c>
      <c r="B535" s="11" t="n">
        <v>45535</v>
      </c>
      <c r="C535" s="11" t="n">
        <v>45541</v>
      </c>
      <c r="D535" s="8" t="s">
        <v>2282</v>
      </c>
      <c r="E535" s="8" t="s">
        <v>34</v>
      </c>
      <c r="F535" s="8" t="s">
        <v>147</v>
      </c>
      <c r="G535" s="8" t="s">
        <v>326</v>
      </c>
      <c r="H535" s="8" t="s">
        <v>132</v>
      </c>
      <c r="I535" s="8" t="s">
        <v>104</v>
      </c>
      <c r="J535" s="8" t="s">
        <v>47</v>
      </c>
      <c r="K535" s="8" t="n">
        <v>2</v>
      </c>
      <c r="L535" s="12" t="n">
        <v>547.6</v>
      </c>
      <c r="M535" s="13" t="n">
        <v>0.1</v>
      </c>
      <c r="N535" s="12" t="n">
        <v>492.84</v>
      </c>
      <c r="O535" s="12" t="n">
        <v>88.74</v>
      </c>
      <c r="P535" s="8" t="str">
        <f aca="false">TEXT(B535,"mmm-yyyy")</f>
        <v>Aug-2024</v>
      </c>
      <c r="Q535" s="14" t="n">
        <f aca="false">IFERROR(O535/N535,"")</f>
        <v>0.180058436815194</v>
      </c>
      <c r="R535" s="8" t="str">
        <f aca="false">IF(OR(N535&gt;$U$3,N535&lt;$U$2),"Sales Outlier",IF(OR(O535&gt;$U$6,O535&lt;$U$4),"Profit Outlier",""))</f>
        <v/>
      </c>
    </row>
    <row r="536" customFormat="false" ht="15" hidden="false" customHeight="true" outlineLevel="0" collapsed="false">
      <c r="A536" s="8" t="s">
        <v>1814</v>
      </c>
      <c r="B536" s="11" t="n">
        <v>45538</v>
      </c>
      <c r="C536" s="11" t="n">
        <v>45364</v>
      </c>
      <c r="D536" s="8" t="s">
        <v>1815</v>
      </c>
      <c r="E536" s="8" t="s">
        <v>34</v>
      </c>
      <c r="F536" s="8" t="s">
        <v>126</v>
      </c>
      <c r="G536" s="8" t="s">
        <v>82</v>
      </c>
      <c r="H536" s="8" t="s">
        <v>114</v>
      </c>
      <c r="I536" s="8" t="s">
        <v>96</v>
      </c>
      <c r="J536" s="8" t="s">
        <v>64</v>
      </c>
      <c r="K536" s="8" t="n">
        <v>1</v>
      </c>
      <c r="L536" s="12" t="n">
        <v>792.48</v>
      </c>
      <c r="M536" s="13" t="n">
        <v>0.1</v>
      </c>
      <c r="N536" s="12" t="n">
        <v>713.23</v>
      </c>
      <c r="O536" s="12" t="n">
        <v>57.9</v>
      </c>
      <c r="P536" s="8" t="str">
        <f aca="false">TEXT(B536,"mmm-yyyy")</f>
        <v>Sep-2024</v>
      </c>
      <c r="Q536" s="14" t="n">
        <f aca="false">IFERROR(O536/N536,"")</f>
        <v>0.0811799840163762</v>
      </c>
      <c r="R536" s="8" t="str">
        <f aca="false">IF(OR(N536&gt;$U$3,N536&lt;$U$2),"Sales Outlier",IF(OR(O536&gt;$U$6,O536&lt;$U$4),"Profit Outlier",""))</f>
        <v/>
      </c>
    </row>
    <row r="537" customFormat="false" ht="15" hidden="false" customHeight="true" outlineLevel="0" collapsed="false">
      <c r="A537" s="8" t="s">
        <v>2225</v>
      </c>
      <c r="B537" s="11" t="n">
        <v>45539</v>
      </c>
      <c r="C537" s="11" t="n">
        <v>45546</v>
      </c>
      <c r="D537" s="8" t="s">
        <v>1700</v>
      </c>
      <c r="E537" s="8" t="s">
        <v>52</v>
      </c>
      <c r="F537" s="8" t="s">
        <v>154</v>
      </c>
      <c r="G537" s="8" t="s">
        <v>119</v>
      </c>
      <c r="H537" s="8" t="s">
        <v>132</v>
      </c>
      <c r="I537" s="8" t="s">
        <v>241</v>
      </c>
      <c r="J537" s="8" t="s">
        <v>64</v>
      </c>
      <c r="K537" s="8" t="n">
        <v>3</v>
      </c>
      <c r="L537" s="12" t="n">
        <v>768.12</v>
      </c>
      <c r="M537" s="13" t="n">
        <v>0.05</v>
      </c>
      <c r="N537" s="12" t="n">
        <v>2189.14</v>
      </c>
      <c r="O537" s="12" t="n">
        <v>166.89</v>
      </c>
      <c r="P537" s="8" t="str">
        <f aca="false">TEXT(B537,"mmm-yyyy")</f>
        <v>Sep-2024</v>
      </c>
      <c r="Q537" s="14" t="n">
        <f aca="false">IFERROR(O537/N537,"")</f>
        <v>0.0762354166476333</v>
      </c>
      <c r="R537" s="8" t="str">
        <f aca="false">IF(OR(N537&gt;$U$3,N537&lt;$U$2),"Sales Outlier",IF(OR(O537&gt;$U$6,O537&lt;$U$4),"Profit Outlier",""))</f>
        <v/>
      </c>
    </row>
    <row r="538" customFormat="false" ht="15" hidden="false" customHeight="true" outlineLevel="0" collapsed="false">
      <c r="A538" s="8" t="s">
        <v>1052</v>
      </c>
      <c r="B538" s="11" t="n">
        <v>45541</v>
      </c>
      <c r="C538" s="11" t="n">
        <v>45547</v>
      </c>
      <c r="D538" s="8" t="s">
        <v>1055</v>
      </c>
      <c r="E538" s="8" t="s">
        <v>52</v>
      </c>
      <c r="F538" s="8" t="s">
        <v>154</v>
      </c>
      <c r="G538" s="8" t="s">
        <v>119</v>
      </c>
      <c r="H538" s="8" t="s">
        <v>114</v>
      </c>
      <c r="I538" s="8" t="s">
        <v>115</v>
      </c>
      <c r="J538" s="8" t="s">
        <v>64</v>
      </c>
      <c r="K538" s="8" t="n">
        <v>1</v>
      </c>
      <c r="L538" s="12" t="n">
        <v>301.56</v>
      </c>
      <c r="M538" s="13" t="n">
        <v>0.2</v>
      </c>
      <c r="N538" s="12" t="n">
        <v>241.25</v>
      </c>
      <c r="O538" s="12" t="n">
        <v>32.08</v>
      </c>
      <c r="P538" s="8" t="str">
        <f aca="false">TEXT(B538,"mmm-yyyy")</f>
        <v>Sep-2024</v>
      </c>
      <c r="Q538" s="14" t="n">
        <f aca="false">IFERROR(O538/N538,"")</f>
        <v>0.132974093264249</v>
      </c>
      <c r="R538" s="8" t="str">
        <f aca="false">IF(OR(N538&gt;$U$3,N538&lt;$U$2),"Sales Outlier",IF(OR(O538&gt;$U$6,O538&lt;$U$4),"Profit Outlier",""))</f>
        <v/>
      </c>
    </row>
    <row r="539" customFormat="false" ht="15" hidden="false" customHeight="true" outlineLevel="0" collapsed="false">
      <c r="A539" s="8" t="s">
        <v>1159</v>
      </c>
      <c r="B539" s="11" t="n">
        <v>45542</v>
      </c>
      <c r="C539" s="11" t="n">
        <v>45545</v>
      </c>
      <c r="D539" s="8" t="s">
        <v>1162</v>
      </c>
      <c r="E539" s="8" t="s">
        <v>24</v>
      </c>
      <c r="F539" s="8" t="s">
        <v>147</v>
      </c>
      <c r="G539" s="8" t="s">
        <v>215</v>
      </c>
      <c r="H539" s="8" t="s">
        <v>77</v>
      </c>
      <c r="I539" s="8" t="s">
        <v>71</v>
      </c>
      <c r="J539" s="8" t="s">
        <v>29</v>
      </c>
      <c r="K539" s="8" t="n">
        <v>4</v>
      </c>
      <c r="L539" s="12" t="n">
        <v>1166.59</v>
      </c>
      <c r="M539" s="13" t="n">
        <v>0.15</v>
      </c>
      <c r="N539" s="12" t="n">
        <v>3966.41</v>
      </c>
      <c r="O539" s="12" t="n">
        <v>-379.93</v>
      </c>
      <c r="P539" s="8" t="str">
        <f aca="false">TEXT(B539,"mmm-yyyy")</f>
        <v>Sep-2024</v>
      </c>
      <c r="Q539" s="14" t="n">
        <f aca="false">IFERROR(O539/N539,"")</f>
        <v>-0.0957868702428645</v>
      </c>
      <c r="R539" s="8" t="str">
        <f aca="false">IF(OR(N539&gt;$U$3,N539&lt;$U$2),"Sales Outlier",IF(OR(O539&gt;$U$6,O539&lt;$U$4),"Profit Outlier",""))</f>
        <v/>
      </c>
    </row>
    <row r="540" customFormat="false" ht="15" hidden="false" customHeight="true" outlineLevel="0" collapsed="false">
      <c r="A540" s="8" t="s">
        <v>2203</v>
      </c>
      <c r="B540" s="11" t="n">
        <v>45545</v>
      </c>
      <c r="C540" s="11"/>
      <c r="D540" s="8" t="s">
        <v>1385</v>
      </c>
      <c r="E540" s="8" t="s">
        <v>52</v>
      </c>
      <c r="F540" s="8" t="s">
        <v>154</v>
      </c>
      <c r="G540" s="8" t="s">
        <v>182</v>
      </c>
      <c r="H540" s="8" t="s">
        <v>132</v>
      </c>
      <c r="I540" s="8" t="s">
        <v>63</v>
      </c>
      <c r="J540" s="8" t="s">
        <v>47</v>
      </c>
      <c r="K540" s="8" t="n">
        <v>2</v>
      </c>
      <c r="L540" s="12" t="n">
        <v>644.76</v>
      </c>
      <c r="M540" s="13" t="n">
        <v>0</v>
      </c>
      <c r="N540" s="12" t="n">
        <v>644.76</v>
      </c>
      <c r="O540" s="12" t="n">
        <v>178.26</v>
      </c>
      <c r="P540" s="8" t="str">
        <f aca="false">TEXT(B540,"mmm-yyyy")</f>
        <v>Sep-2024</v>
      </c>
      <c r="Q540" s="14" t="n">
        <f aca="false">IFERROR(O540/N540,"")</f>
        <v>0.276474967429741</v>
      </c>
      <c r="R540" s="8" t="str">
        <f aca="false">IF(OR(N540&gt;$U$3,N540&lt;$U$2),"Sales Outlier",IF(OR(O540&gt;$U$6,O540&lt;$U$4),"Profit Outlier",""))</f>
        <v/>
      </c>
    </row>
    <row r="541" customFormat="false" ht="15" hidden="false" customHeight="true" outlineLevel="0" collapsed="false">
      <c r="A541" s="8" t="s">
        <v>1520</v>
      </c>
      <c r="B541" s="11" t="n">
        <v>45547</v>
      </c>
      <c r="C541" s="11" t="n">
        <v>45553</v>
      </c>
      <c r="D541" s="8" t="s">
        <v>137</v>
      </c>
      <c r="E541" s="8" t="s">
        <v>2285</v>
      </c>
      <c r="F541" s="8" t="s">
        <v>147</v>
      </c>
      <c r="G541" s="8" t="s">
        <v>215</v>
      </c>
      <c r="H541" s="8" t="s">
        <v>132</v>
      </c>
      <c r="I541" s="8" t="s">
        <v>220</v>
      </c>
      <c r="J541" s="8" t="s">
        <v>64</v>
      </c>
      <c r="K541" s="8" t="n">
        <v>2</v>
      </c>
      <c r="L541" s="12" t="n">
        <v>567.76</v>
      </c>
      <c r="M541" s="13" t="n">
        <v>0.1</v>
      </c>
      <c r="N541" s="12" t="n">
        <v>1021.97</v>
      </c>
      <c r="O541" s="12" t="n">
        <v>347.35</v>
      </c>
      <c r="P541" s="8" t="str">
        <f aca="false">TEXT(B541,"mmm-yyyy")</f>
        <v>Sep-2024</v>
      </c>
      <c r="Q541" s="14" t="n">
        <f aca="false">IFERROR(O541/N541,"")</f>
        <v>0.339882775423936</v>
      </c>
      <c r="R541" s="8" t="str">
        <f aca="false">IF(OR(N541&gt;$U$3,N541&lt;$U$2),"Sales Outlier",IF(OR(O541&gt;$U$6,O541&lt;$U$4),"Profit Outlier",""))</f>
        <v/>
      </c>
    </row>
    <row r="542" customFormat="false" ht="15" hidden="false" customHeight="true" outlineLevel="0" collapsed="false">
      <c r="A542" s="8" t="s">
        <v>1500</v>
      </c>
      <c r="B542" s="11" t="n">
        <v>45548</v>
      </c>
      <c r="C542" s="11" t="n">
        <v>45554</v>
      </c>
      <c r="D542" s="8" t="s">
        <v>719</v>
      </c>
      <c r="E542" s="8" t="s">
        <v>24</v>
      </c>
      <c r="F542" s="8" t="s">
        <v>147</v>
      </c>
      <c r="G542" s="8" t="s">
        <v>326</v>
      </c>
      <c r="H542" s="8" t="s">
        <v>37</v>
      </c>
      <c r="I542" s="8" t="s">
        <v>38</v>
      </c>
      <c r="J542" s="8" t="s">
        <v>29</v>
      </c>
      <c r="K542" s="8" t="n">
        <v>2</v>
      </c>
      <c r="L542" s="12" t="n">
        <v>518.72</v>
      </c>
      <c r="M542" s="13" t="n">
        <v>0.2</v>
      </c>
      <c r="N542" s="12" t="n">
        <v>829.95</v>
      </c>
      <c r="O542" s="12" t="n">
        <v>-51.33</v>
      </c>
      <c r="P542" s="8" t="str">
        <f aca="false">TEXT(B542,"mmm-yyyy")</f>
        <v>Sep-2024</v>
      </c>
      <c r="Q542" s="14" t="n">
        <f aca="false">IFERROR(O542/N542,"")</f>
        <v>-0.0618470992228447</v>
      </c>
      <c r="R542" s="8" t="str">
        <f aca="false">IF(OR(N542&gt;$U$3,N542&lt;$U$2),"Sales Outlier",IF(OR(O542&gt;$U$6,O542&lt;$U$4),"Profit Outlier",""))</f>
        <v/>
      </c>
    </row>
    <row r="543" customFormat="false" ht="15" hidden="false" customHeight="true" outlineLevel="0" collapsed="false">
      <c r="A543" s="8" t="s">
        <v>1920</v>
      </c>
      <c r="B543" s="11" t="n">
        <v>45548</v>
      </c>
      <c r="C543" s="11" t="n">
        <v>45552</v>
      </c>
      <c r="D543" s="8" t="s">
        <v>1136</v>
      </c>
      <c r="E543" s="8" t="s">
        <v>34</v>
      </c>
      <c r="F543" s="8" t="s">
        <v>61</v>
      </c>
      <c r="G543" s="8" t="s">
        <v>62</v>
      </c>
      <c r="H543" s="8" t="s">
        <v>132</v>
      </c>
      <c r="I543" s="8" t="s">
        <v>220</v>
      </c>
      <c r="J543" s="8" t="s">
        <v>47</v>
      </c>
      <c r="K543" s="8" t="n">
        <v>2</v>
      </c>
      <c r="L543" s="12" t="n">
        <v>334.76</v>
      </c>
      <c r="M543" s="13" t="n">
        <v>0</v>
      </c>
      <c r="N543" s="12" t="n">
        <v>334.76</v>
      </c>
      <c r="O543" s="12" t="n">
        <v>49.77</v>
      </c>
      <c r="P543" s="8" t="str">
        <f aca="false">TEXT(B543,"mmm-yyyy")</f>
        <v>Sep-2024</v>
      </c>
      <c r="Q543" s="14" t="n">
        <f aca="false">IFERROR(O543/N543,"")</f>
        <v>0.148673676663879</v>
      </c>
      <c r="R543" s="8" t="str">
        <f aca="false">IF(OR(N543&gt;$U$3,N543&lt;$U$2),"Sales Outlier",IF(OR(O543&gt;$U$6,O543&lt;$U$4),"Profit Outlier",""))</f>
        <v/>
      </c>
    </row>
    <row r="544" customFormat="false" ht="15" hidden="false" customHeight="true" outlineLevel="0" collapsed="false">
      <c r="A544" s="8" t="s">
        <v>535</v>
      </c>
      <c r="B544" s="11" t="n">
        <v>45549</v>
      </c>
      <c r="C544" s="11" t="n">
        <v>45552</v>
      </c>
      <c r="D544" s="8" t="s">
        <v>538</v>
      </c>
      <c r="E544" s="8" t="s">
        <v>2285</v>
      </c>
      <c r="F544" s="8" t="s">
        <v>61</v>
      </c>
      <c r="G544" s="8" t="s">
        <v>76</v>
      </c>
      <c r="H544" s="8" t="s">
        <v>45</v>
      </c>
      <c r="I544" s="8" t="s">
        <v>149</v>
      </c>
      <c r="J544" s="8" t="s">
        <v>29</v>
      </c>
      <c r="K544" s="8" t="n">
        <v>5</v>
      </c>
      <c r="L544" s="12" t="n">
        <v>196.04</v>
      </c>
      <c r="M544" s="13" t="n">
        <v>0.05</v>
      </c>
      <c r="N544" s="12" t="n">
        <v>931.19</v>
      </c>
      <c r="O544" s="12" t="n">
        <v>93.58</v>
      </c>
      <c r="P544" s="8" t="str">
        <f aca="false">TEXT(B544,"mmm-yyyy")</f>
        <v>Sep-2024</v>
      </c>
      <c r="Q544" s="14" t="n">
        <f aca="false">IFERROR(O544/N544,"")</f>
        <v>0.100495065453882</v>
      </c>
      <c r="R544" s="8" t="str">
        <f aca="false">IF(OR(N544&gt;$U$3,N544&lt;$U$2),"Sales Outlier",IF(OR(O544&gt;$U$6,O544&lt;$U$4),"Profit Outlier",""))</f>
        <v/>
      </c>
    </row>
    <row r="545" customFormat="false" ht="15" hidden="false" customHeight="true" outlineLevel="0" collapsed="false">
      <c r="A545" s="8" t="s">
        <v>851</v>
      </c>
      <c r="B545" s="11" t="n">
        <v>45550</v>
      </c>
      <c r="C545" s="11"/>
      <c r="D545" s="8" t="s">
        <v>853</v>
      </c>
      <c r="E545" s="8" t="s">
        <v>24</v>
      </c>
      <c r="F545" s="8" t="s">
        <v>147</v>
      </c>
      <c r="G545" s="8" t="s">
        <v>215</v>
      </c>
      <c r="H545" s="8" t="s">
        <v>132</v>
      </c>
      <c r="I545" s="8" t="s">
        <v>220</v>
      </c>
      <c r="J545" s="8" t="s">
        <v>47</v>
      </c>
      <c r="K545" s="8" t="n">
        <v>2</v>
      </c>
      <c r="L545" s="12" t="n">
        <v>1002.78</v>
      </c>
      <c r="M545" s="13" t="n">
        <v>0.2</v>
      </c>
      <c r="N545" s="12" t="n">
        <v>1604.45</v>
      </c>
      <c r="O545" s="12" t="n">
        <v>300.88</v>
      </c>
      <c r="P545" s="8" t="str">
        <f aca="false">TEXT(B545,"mmm-yyyy")</f>
        <v>Sep-2024</v>
      </c>
      <c r="Q545" s="14" t="n">
        <f aca="false">IFERROR(O545/N545,"")</f>
        <v>0.187528436535885</v>
      </c>
      <c r="R545" s="8" t="str">
        <f aca="false">IF(OR(N545&gt;$U$3,N545&lt;$U$2),"Sales Outlier",IF(OR(O545&gt;$U$6,O545&lt;$U$4),"Profit Outlier",""))</f>
        <v/>
      </c>
    </row>
    <row r="546" customFormat="false" ht="15" hidden="false" customHeight="true" outlineLevel="0" collapsed="false">
      <c r="A546" s="8" t="s">
        <v>1048</v>
      </c>
      <c r="B546" s="11" t="n">
        <v>45551</v>
      </c>
      <c r="C546" s="11" t="n">
        <v>45557</v>
      </c>
      <c r="D546" s="8" t="s">
        <v>1051</v>
      </c>
      <c r="E546" s="8" t="s">
        <v>2285</v>
      </c>
      <c r="F546" s="8" t="s">
        <v>126</v>
      </c>
      <c r="G546" s="8" t="s">
        <v>89</v>
      </c>
      <c r="H546" s="8" t="s">
        <v>114</v>
      </c>
      <c r="I546" s="8" t="s">
        <v>109</v>
      </c>
      <c r="J546" s="8" t="s">
        <v>47</v>
      </c>
      <c r="K546" s="8" t="n">
        <v>1</v>
      </c>
      <c r="L546" s="12" t="n">
        <v>638.96</v>
      </c>
      <c r="M546" s="13" t="n">
        <v>0</v>
      </c>
      <c r="N546" s="12" t="n">
        <v>638.96</v>
      </c>
      <c r="O546" s="12" t="n">
        <v>133.51</v>
      </c>
      <c r="P546" s="8" t="str">
        <f aca="false">TEXT(B546,"mmm-yyyy")</f>
        <v>Sep-2024</v>
      </c>
      <c r="Q546" s="14" t="n">
        <f aca="false">IFERROR(O546/N546,"")</f>
        <v>0.208948916990109</v>
      </c>
      <c r="R546" s="8" t="str">
        <f aca="false">IF(OR(N546&gt;$U$3,N546&lt;$U$2),"Sales Outlier",IF(OR(O546&gt;$U$6,O546&lt;$U$4),"Profit Outlier",""))</f>
        <v/>
      </c>
    </row>
    <row r="547" customFormat="false" ht="15" hidden="false" customHeight="true" outlineLevel="0" collapsed="false">
      <c r="A547" s="8" t="s">
        <v>2193</v>
      </c>
      <c r="B547" s="11" t="n">
        <v>45552</v>
      </c>
      <c r="C547" s="11" t="n">
        <v>45554</v>
      </c>
      <c r="D547" s="8" t="s">
        <v>2195</v>
      </c>
      <c r="E547" s="8" t="s">
        <v>34</v>
      </c>
      <c r="F547" s="8" t="s">
        <v>126</v>
      </c>
      <c r="G547" s="8" t="s">
        <v>82</v>
      </c>
      <c r="H547" s="8" t="s">
        <v>114</v>
      </c>
      <c r="I547" s="8" t="s">
        <v>297</v>
      </c>
      <c r="J547" s="8" t="s">
        <v>64</v>
      </c>
      <c r="K547" s="8" t="n">
        <v>1</v>
      </c>
      <c r="L547" s="12" t="n">
        <v>842.87</v>
      </c>
      <c r="M547" s="13" t="n">
        <v>0.2</v>
      </c>
      <c r="N547" s="12" t="n">
        <v>674.3</v>
      </c>
      <c r="O547" s="12" t="n">
        <v>54.33</v>
      </c>
      <c r="P547" s="8" t="str">
        <f aca="false">TEXT(B547,"mmm-yyyy")</f>
        <v>Sep-2024</v>
      </c>
      <c r="Q547" s="14" t="n">
        <f aca="false">IFERROR(O547/N547,"")</f>
        <v>0.080572445499036</v>
      </c>
      <c r="R547" s="8" t="str">
        <f aca="false">IF(OR(N547&gt;$U$3,N547&lt;$U$2),"Sales Outlier",IF(OR(O547&gt;$U$6,O547&lt;$U$4),"Profit Outlier",""))</f>
        <v/>
      </c>
    </row>
    <row r="548" customFormat="false" ht="15" hidden="false" customHeight="true" outlineLevel="0" collapsed="false">
      <c r="A548" s="8" t="s">
        <v>207</v>
      </c>
      <c r="B548" s="11" t="n">
        <v>45553</v>
      </c>
      <c r="C548" s="11" t="n">
        <v>45554</v>
      </c>
      <c r="D548" s="8" t="s">
        <v>210</v>
      </c>
      <c r="E548" s="8" t="s">
        <v>24</v>
      </c>
      <c r="F548" s="8" t="s">
        <v>61</v>
      </c>
      <c r="G548" s="8" t="s">
        <v>62</v>
      </c>
      <c r="H548" s="8" t="s">
        <v>114</v>
      </c>
      <c r="I548" s="8" t="s">
        <v>115</v>
      </c>
      <c r="J548" s="8" t="s">
        <v>47</v>
      </c>
      <c r="K548" s="8" t="n">
        <v>3</v>
      </c>
      <c r="L548" s="12" t="n">
        <v>822.45</v>
      </c>
      <c r="M548" s="13" t="n">
        <v>0.15</v>
      </c>
      <c r="N548" s="12" t="n">
        <v>2097.25</v>
      </c>
      <c r="O548" s="12" t="n">
        <v>323.81</v>
      </c>
      <c r="P548" s="8" t="str">
        <f aca="false">TEXT(B548,"mmm-yyyy")</f>
        <v>Sep-2024</v>
      </c>
      <c r="Q548" s="14" t="n">
        <f aca="false">IFERROR(O548/N548,"")</f>
        <v>0.154397425199666</v>
      </c>
      <c r="R548" s="8" t="str">
        <f aca="false">IF(OR(N548&gt;$U$3,N548&lt;$U$2),"Sales Outlier",IF(OR(O548&gt;$U$6,O548&lt;$U$4),"Profit Outlier",""))</f>
        <v/>
      </c>
    </row>
    <row r="549" customFormat="false" ht="15" hidden="false" customHeight="true" outlineLevel="0" collapsed="false">
      <c r="A549" s="8" t="s">
        <v>1583</v>
      </c>
      <c r="B549" s="11" t="n">
        <v>45555</v>
      </c>
      <c r="C549" s="11" t="n">
        <v>45561</v>
      </c>
      <c r="D549" s="8" t="s">
        <v>1586</v>
      </c>
      <c r="E549" s="8" t="s">
        <v>24</v>
      </c>
      <c r="F549" s="8" t="s">
        <v>126</v>
      </c>
      <c r="G549" s="8" t="s">
        <v>82</v>
      </c>
      <c r="H549" s="8" t="s">
        <v>37</v>
      </c>
      <c r="I549" s="8" t="s">
        <v>527</v>
      </c>
      <c r="J549" s="8" t="s">
        <v>29</v>
      </c>
      <c r="K549" s="8" t="n">
        <v>4</v>
      </c>
      <c r="L549" s="12" t="n">
        <v>789.37</v>
      </c>
      <c r="M549" s="13" t="n">
        <v>0.1</v>
      </c>
      <c r="N549" s="12" t="n">
        <v>2841.73</v>
      </c>
      <c r="O549" s="12" t="n">
        <v>-3.72</v>
      </c>
      <c r="P549" s="8" t="str">
        <f aca="false">TEXT(B549,"mmm-yyyy")</f>
        <v>Sep-2024</v>
      </c>
      <c r="Q549" s="14" t="n">
        <f aca="false">IFERROR(O549/N549,"")</f>
        <v>-0.00130906173352148</v>
      </c>
      <c r="R549" s="8" t="str">
        <f aca="false">IF(OR(N549&gt;$U$3,N549&lt;$U$2),"Sales Outlier",IF(OR(O549&gt;$U$6,O549&lt;$U$4),"Profit Outlier",""))</f>
        <v/>
      </c>
    </row>
    <row r="550" customFormat="false" ht="15" hidden="false" customHeight="true" outlineLevel="0" collapsed="false">
      <c r="A550" s="8" t="s">
        <v>1652</v>
      </c>
      <c r="B550" s="11" t="n">
        <v>45556</v>
      </c>
      <c r="C550" s="11" t="n">
        <v>45559</v>
      </c>
      <c r="D550" s="8" t="s">
        <v>1655</v>
      </c>
      <c r="E550" s="8" t="s">
        <v>52</v>
      </c>
      <c r="F550" s="8" t="s">
        <v>147</v>
      </c>
      <c r="G550" s="8" t="s">
        <v>54</v>
      </c>
      <c r="H550" s="8" t="s">
        <v>45</v>
      </c>
      <c r="I550" s="8" t="s">
        <v>28</v>
      </c>
      <c r="J550" s="8" t="s">
        <v>39</v>
      </c>
      <c r="K550" s="8" t="n">
        <v>5</v>
      </c>
      <c r="L550" s="12" t="n">
        <v>110.67</v>
      </c>
      <c r="M550" s="13" t="n">
        <v>0.05</v>
      </c>
      <c r="N550" s="12" t="n">
        <v>525.68</v>
      </c>
      <c r="O550" s="12" t="n">
        <v>48.41</v>
      </c>
      <c r="P550" s="8" t="str">
        <f aca="false">TEXT(B550,"mmm-yyyy")</f>
        <v>Sep-2024</v>
      </c>
      <c r="Q550" s="14" t="n">
        <f aca="false">IFERROR(O550/N550,"")</f>
        <v>0.0920902450159793</v>
      </c>
      <c r="R550" s="8" t="str">
        <f aca="false">IF(OR(N550&gt;$U$3,N550&lt;$U$2),"Sales Outlier",IF(OR(O550&gt;$U$6,O550&lt;$U$4),"Profit Outlier",""))</f>
        <v/>
      </c>
    </row>
    <row r="551" customFormat="false" ht="15" hidden="false" customHeight="true" outlineLevel="0" collapsed="false">
      <c r="A551" s="8" t="s">
        <v>1169</v>
      </c>
      <c r="B551" s="11" t="n">
        <v>45558</v>
      </c>
      <c r="C551" s="11" t="n">
        <v>45565</v>
      </c>
      <c r="D551" s="8" t="s">
        <v>685</v>
      </c>
      <c r="E551" s="8" t="s">
        <v>34</v>
      </c>
      <c r="F551" s="8" t="s">
        <v>61</v>
      </c>
      <c r="G551" s="8" t="s">
        <v>36</v>
      </c>
      <c r="H551" s="8" t="s">
        <v>114</v>
      </c>
      <c r="I551" s="8" t="s">
        <v>297</v>
      </c>
      <c r="J551" s="8" t="s">
        <v>29</v>
      </c>
      <c r="K551" s="8" t="n">
        <v>2</v>
      </c>
      <c r="L551" s="12" t="n">
        <v>197.34</v>
      </c>
      <c r="M551" s="13" t="n">
        <v>0.05</v>
      </c>
      <c r="N551" s="12" t="n">
        <v>374.95</v>
      </c>
      <c r="O551" s="12" t="n">
        <v>40.33</v>
      </c>
      <c r="P551" s="8" t="str">
        <f aca="false">TEXT(B551,"mmm-yyyy")</f>
        <v>Sep-2024</v>
      </c>
      <c r="Q551" s="14" t="n">
        <f aca="false">IFERROR(O551/N551,"")</f>
        <v>0.107561008134418</v>
      </c>
      <c r="R551" s="8" t="str">
        <f aca="false">IF(OR(N551&gt;$U$3,N551&lt;$U$2),"Sales Outlier",IF(OR(O551&gt;$U$6,O551&lt;$U$4),"Profit Outlier",""))</f>
        <v/>
      </c>
    </row>
    <row r="552" customFormat="false" ht="15" hidden="false" customHeight="true" outlineLevel="0" collapsed="false">
      <c r="A552" s="8" t="s">
        <v>20</v>
      </c>
      <c r="B552" s="11" t="n">
        <v>45559</v>
      </c>
      <c r="C552" s="11" t="n">
        <v>45561</v>
      </c>
      <c r="D552" s="8" t="s">
        <v>23</v>
      </c>
      <c r="E552" s="8" t="s">
        <v>24</v>
      </c>
      <c r="F552" s="8" t="s">
        <v>126</v>
      </c>
      <c r="G552" s="8" t="s">
        <v>26</v>
      </c>
      <c r="H552" s="8" t="s">
        <v>45</v>
      </c>
      <c r="I552" s="8" t="s">
        <v>28</v>
      </c>
      <c r="J552" s="8" t="s">
        <v>29</v>
      </c>
      <c r="K552" s="8" t="n">
        <v>4</v>
      </c>
      <c r="L552" s="12" t="n">
        <v>425.62</v>
      </c>
      <c r="M552" s="13" t="n">
        <v>0.15</v>
      </c>
      <c r="N552" s="12" t="n">
        <v>1447.11</v>
      </c>
      <c r="O552" s="12" t="n">
        <v>-67.96</v>
      </c>
      <c r="P552" s="8" t="str">
        <f aca="false">TEXT(B552,"mmm-yyyy")</f>
        <v>Sep-2024</v>
      </c>
      <c r="Q552" s="14" t="n">
        <f aca="false">IFERROR(O552/N552,"")</f>
        <v>-0.0469625667710126</v>
      </c>
      <c r="R552" s="8" t="str">
        <f aca="false">IF(OR(N552&gt;$U$3,N552&lt;$U$2),"Sales Outlier",IF(OR(O552&gt;$U$6,O552&lt;$U$4),"Profit Outlier",""))</f>
        <v/>
      </c>
    </row>
    <row r="553" customFormat="false" ht="15" hidden="false" customHeight="true" outlineLevel="0" collapsed="false">
      <c r="A553" s="8" t="s">
        <v>1856</v>
      </c>
      <c r="B553" s="11" t="n">
        <v>45559</v>
      </c>
      <c r="C553" s="11" t="n">
        <v>45301</v>
      </c>
      <c r="D553" s="8" t="s">
        <v>1206</v>
      </c>
      <c r="E553" s="8" t="s">
        <v>24</v>
      </c>
      <c r="F553" s="8" t="s">
        <v>126</v>
      </c>
      <c r="G553" s="8" t="s">
        <v>89</v>
      </c>
      <c r="H553" s="8" t="s">
        <v>132</v>
      </c>
      <c r="I553" s="8" t="s">
        <v>56</v>
      </c>
      <c r="J553" s="8" t="s">
        <v>29</v>
      </c>
      <c r="K553" s="8" t="n">
        <v>1</v>
      </c>
      <c r="L553" s="12" t="n">
        <v>373.16</v>
      </c>
      <c r="M553" s="13" t="n">
        <v>0.15</v>
      </c>
      <c r="N553" s="12" t="n">
        <v>317.19</v>
      </c>
      <c r="O553" s="12" t="n">
        <v>43.42</v>
      </c>
      <c r="P553" s="8" t="str">
        <f aca="false">TEXT(B553,"mmm-yyyy")</f>
        <v>Sep-2024</v>
      </c>
      <c r="Q553" s="14" t="n">
        <f aca="false">IFERROR(O553/N553,"")</f>
        <v>0.136889561461585</v>
      </c>
      <c r="R553" s="8" t="str">
        <f aca="false">IF(OR(N553&gt;$U$3,N553&lt;$U$2),"Sales Outlier",IF(OR(O553&gt;$U$6,O553&lt;$U$4),"Profit Outlier",""))</f>
        <v/>
      </c>
    </row>
    <row r="554" customFormat="false" ht="15" hidden="false" customHeight="true" outlineLevel="0" collapsed="false">
      <c r="A554" s="8" t="s">
        <v>512</v>
      </c>
      <c r="B554" s="11" t="n">
        <v>45559</v>
      </c>
      <c r="C554" s="11" t="n">
        <v>45563</v>
      </c>
      <c r="D554" s="8" t="s">
        <v>2306</v>
      </c>
      <c r="E554" s="8" t="s">
        <v>24</v>
      </c>
      <c r="F554" s="8" t="s">
        <v>61</v>
      </c>
      <c r="G554" s="8" t="s">
        <v>62</v>
      </c>
      <c r="H554" s="8" t="s">
        <v>132</v>
      </c>
      <c r="I554" s="8" t="s">
        <v>104</v>
      </c>
      <c r="J554" s="8" t="s">
        <v>29</v>
      </c>
      <c r="K554" s="8" t="n">
        <v>1</v>
      </c>
      <c r="L554" s="12" t="n">
        <v>1159.61</v>
      </c>
      <c r="M554" s="13" t="n">
        <v>0.05</v>
      </c>
      <c r="N554" s="12" t="n">
        <v>1101.63</v>
      </c>
      <c r="O554" s="12" t="n">
        <v>181.76</v>
      </c>
      <c r="P554" s="8" t="str">
        <f aca="false">TEXT(B554,"mmm-yyyy")</f>
        <v>Sep-2024</v>
      </c>
      <c r="Q554" s="14" t="n">
        <f aca="false">IFERROR(O554/N554,"")</f>
        <v>0.164991875675136</v>
      </c>
      <c r="R554" s="8" t="str">
        <f aca="false">IF(OR(N554&gt;$U$3,N554&lt;$U$2),"Sales Outlier",IF(OR(O554&gt;$U$6,O554&lt;$U$4),"Profit Outlier",""))</f>
        <v/>
      </c>
    </row>
    <row r="555" customFormat="false" ht="15" hidden="false" customHeight="true" outlineLevel="0" collapsed="false">
      <c r="A555" s="8" t="s">
        <v>1788</v>
      </c>
      <c r="B555" s="11" t="n">
        <v>45559</v>
      </c>
      <c r="C555" s="11" t="n">
        <v>45563</v>
      </c>
      <c r="D555" s="8" t="s">
        <v>1790</v>
      </c>
      <c r="E555" s="8" t="s">
        <v>34</v>
      </c>
      <c r="F555" s="8" t="s">
        <v>126</v>
      </c>
      <c r="G555" s="8" t="s">
        <v>26</v>
      </c>
      <c r="H555" s="8" t="s">
        <v>114</v>
      </c>
      <c r="I555" s="8" t="s">
        <v>96</v>
      </c>
      <c r="J555" s="8" t="s">
        <v>39</v>
      </c>
      <c r="K555" s="8" t="n">
        <v>3</v>
      </c>
      <c r="L555" s="12" t="n">
        <v>1171.47</v>
      </c>
      <c r="M555" s="13" t="n">
        <v>0.05</v>
      </c>
      <c r="N555" s="12" t="n">
        <v>3338.69</v>
      </c>
      <c r="O555" s="12" t="n">
        <v>-133.74</v>
      </c>
      <c r="P555" s="8" t="str">
        <f aca="false">TEXT(B555,"mmm-yyyy")</f>
        <v>Sep-2024</v>
      </c>
      <c r="Q555" s="14" t="n">
        <f aca="false">IFERROR(O555/N555,"")</f>
        <v>-0.0400576273927798</v>
      </c>
      <c r="R555" s="8" t="str">
        <f aca="false">IF(OR(N555&gt;$U$3,N555&lt;$U$2),"Sales Outlier",IF(OR(O555&gt;$U$6,O555&lt;$U$4),"Profit Outlier",""))</f>
        <v/>
      </c>
    </row>
    <row r="556" customFormat="false" ht="15" hidden="false" customHeight="true" outlineLevel="0" collapsed="false">
      <c r="A556" s="8" t="s">
        <v>638</v>
      </c>
      <c r="B556" s="11" t="n">
        <v>45561</v>
      </c>
      <c r="C556" s="11" t="n">
        <v>45562</v>
      </c>
      <c r="D556" s="8" t="s">
        <v>641</v>
      </c>
      <c r="E556" s="8" t="s">
        <v>34</v>
      </c>
      <c r="F556" s="8" t="s">
        <v>61</v>
      </c>
      <c r="G556" s="8" t="s">
        <v>76</v>
      </c>
      <c r="H556" s="8" t="s">
        <v>114</v>
      </c>
      <c r="I556" s="8" t="s">
        <v>115</v>
      </c>
      <c r="J556" s="8" t="s">
        <v>47</v>
      </c>
      <c r="K556" s="8" t="n">
        <v>3</v>
      </c>
      <c r="L556" s="12" t="n">
        <v>235.73</v>
      </c>
      <c r="M556" s="13" t="n">
        <v>0</v>
      </c>
      <c r="N556" s="12" t="n">
        <v>707.19</v>
      </c>
      <c r="O556" s="12" t="n">
        <v>201.83</v>
      </c>
      <c r="P556" s="8" t="str">
        <f aca="false">TEXT(B556,"mmm-yyyy")</f>
        <v>Sep-2024</v>
      </c>
      <c r="Q556" s="14" t="n">
        <f aca="false">IFERROR(O556/N556,"")</f>
        <v>0.285397135140486</v>
      </c>
      <c r="R556" s="8" t="str">
        <f aca="false">IF(OR(N556&gt;$U$3,N556&lt;$U$2),"Sales Outlier",IF(OR(O556&gt;$U$6,O556&lt;$U$4),"Profit Outlier",""))</f>
        <v/>
      </c>
    </row>
    <row r="557" customFormat="false" ht="15" hidden="false" customHeight="true" outlineLevel="0" collapsed="false">
      <c r="A557" s="8" t="s">
        <v>1878</v>
      </c>
      <c r="B557" s="11" t="n">
        <v>45561</v>
      </c>
      <c r="C557" s="11" t="n">
        <v>45566</v>
      </c>
      <c r="D557" s="8" t="s">
        <v>1880</v>
      </c>
      <c r="E557" s="8" t="s">
        <v>24</v>
      </c>
      <c r="F557" s="8" t="s">
        <v>61</v>
      </c>
      <c r="G557" s="8" t="s">
        <v>76</v>
      </c>
      <c r="H557" s="8" t="s">
        <v>132</v>
      </c>
      <c r="I557" s="8" t="s">
        <v>56</v>
      </c>
      <c r="J557" s="8" t="s">
        <v>29</v>
      </c>
      <c r="K557" s="8" t="n">
        <v>2</v>
      </c>
      <c r="L557" s="12" t="n">
        <v>401.71</v>
      </c>
      <c r="M557" s="13" t="n">
        <v>0</v>
      </c>
      <c r="N557" s="12" t="n">
        <v>401.71</v>
      </c>
      <c r="O557" s="12" t="n">
        <v>21.54</v>
      </c>
      <c r="P557" s="8" t="str">
        <f aca="false">TEXT(B557,"mmm-yyyy")</f>
        <v>Sep-2024</v>
      </c>
      <c r="Q557" s="14" t="n">
        <f aca="false">IFERROR(O557/N557,"")</f>
        <v>0.0536207712031067</v>
      </c>
      <c r="R557" s="8" t="str">
        <f aca="false">IF(OR(N557&gt;$U$3,N557&lt;$U$2),"Sales Outlier",IF(OR(O557&gt;$U$6,O557&lt;$U$4),"Profit Outlier",""))</f>
        <v/>
      </c>
    </row>
    <row r="558" customFormat="false" ht="15" hidden="false" customHeight="true" outlineLevel="0" collapsed="false">
      <c r="A558" s="8" t="s">
        <v>2000</v>
      </c>
      <c r="B558" s="11" t="n">
        <v>45561</v>
      </c>
      <c r="C558" s="11" t="n">
        <v>45567</v>
      </c>
      <c r="D558" s="8" t="s">
        <v>486</v>
      </c>
      <c r="E558" s="8" t="s">
        <v>52</v>
      </c>
      <c r="F558" s="8" t="s">
        <v>126</v>
      </c>
      <c r="G558" s="8" t="s">
        <v>82</v>
      </c>
      <c r="H558" s="8" t="s">
        <v>132</v>
      </c>
      <c r="I558" s="8" t="s">
        <v>220</v>
      </c>
      <c r="J558" s="8" t="s">
        <v>39</v>
      </c>
      <c r="K558" s="8" t="n">
        <v>3</v>
      </c>
      <c r="L558" s="12" t="n">
        <v>484.12</v>
      </c>
      <c r="M558" s="13" t="n">
        <v>0</v>
      </c>
      <c r="N558" s="12" t="n">
        <v>1452.36</v>
      </c>
      <c r="O558" s="12" t="n">
        <v>300.62</v>
      </c>
      <c r="P558" s="8" t="str">
        <f aca="false">TEXT(B558,"mmm-yyyy")</f>
        <v>Sep-2024</v>
      </c>
      <c r="Q558" s="14" t="n">
        <f aca="false">IFERROR(O558/N558,"")</f>
        <v>0.206987248340632</v>
      </c>
      <c r="R558" s="8" t="str">
        <f aca="false">IF(OR(N558&gt;$U$3,N558&lt;$U$2),"Sales Outlier",IF(OR(O558&gt;$U$6,O558&lt;$U$4),"Profit Outlier",""))</f>
        <v/>
      </c>
    </row>
    <row r="559" customFormat="false" ht="15" hidden="false" customHeight="true" outlineLevel="0" collapsed="false">
      <c r="A559" s="8" t="s">
        <v>1344</v>
      </c>
      <c r="B559" s="11" t="n">
        <v>45562</v>
      </c>
      <c r="C559" s="11" t="n">
        <v>45565</v>
      </c>
      <c r="D559" s="8" t="s">
        <v>681</v>
      </c>
      <c r="E559" s="8" t="s">
        <v>34</v>
      </c>
      <c r="F559" s="8" t="s">
        <v>126</v>
      </c>
      <c r="G559" s="8" t="s">
        <v>82</v>
      </c>
      <c r="H559" s="8" t="s">
        <v>37</v>
      </c>
      <c r="I559" s="8" t="s">
        <v>84</v>
      </c>
      <c r="J559" s="8" t="s">
        <v>47</v>
      </c>
      <c r="K559" s="8" t="n">
        <v>2</v>
      </c>
      <c r="L559" s="12" t="n">
        <v>946.29</v>
      </c>
      <c r="M559" s="13" t="n">
        <v>0</v>
      </c>
      <c r="N559" s="12" t="n">
        <v>1892.58</v>
      </c>
      <c r="O559" s="12" t="n">
        <v>136.89</v>
      </c>
      <c r="P559" s="8" t="str">
        <f aca="false">TEXT(B559,"mmm-yyyy")</f>
        <v>Sep-2024</v>
      </c>
      <c r="Q559" s="14" t="n">
        <f aca="false">IFERROR(O559/N559,"")</f>
        <v>0.0723298354627017</v>
      </c>
      <c r="R559" s="8" t="str">
        <f aca="false">IF(OR(N559&gt;$U$3,N559&lt;$U$2),"Sales Outlier",IF(OR(O559&gt;$U$6,O559&lt;$U$4),"Profit Outlier",""))</f>
        <v/>
      </c>
    </row>
    <row r="560" customFormat="false" ht="15" hidden="false" customHeight="true" outlineLevel="0" collapsed="false">
      <c r="A560" s="8" t="s">
        <v>961</v>
      </c>
      <c r="B560" s="11" t="n">
        <v>45562</v>
      </c>
      <c r="C560" s="11" t="n">
        <v>45563</v>
      </c>
      <c r="D560" s="8" t="s">
        <v>964</v>
      </c>
      <c r="E560" s="8" t="s">
        <v>2285</v>
      </c>
      <c r="F560" s="8" t="s">
        <v>61</v>
      </c>
      <c r="G560" s="8" t="s">
        <v>76</v>
      </c>
      <c r="H560" s="8" t="s">
        <v>114</v>
      </c>
      <c r="I560" s="8" t="s">
        <v>201</v>
      </c>
      <c r="J560" s="8" t="s">
        <v>64</v>
      </c>
      <c r="K560" s="8" t="n">
        <v>1</v>
      </c>
      <c r="L560" s="12" t="n">
        <v>282.02</v>
      </c>
      <c r="M560" s="13" t="n">
        <v>0</v>
      </c>
      <c r="N560" s="12" t="n">
        <v>282.02</v>
      </c>
      <c r="O560" s="12" t="n">
        <v>1.78</v>
      </c>
      <c r="P560" s="8" t="str">
        <f aca="false">TEXT(B560,"mmm-yyyy")</f>
        <v>Sep-2024</v>
      </c>
      <c r="Q560" s="14" t="n">
        <f aca="false">IFERROR(O560/N560,"")</f>
        <v>0.00631160910573718</v>
      </c>
      <c r="R560" s="8" t="str">
        <f aca="false">IF(OR(N560&gt;$U$3,N560&lt;$U$2),"Sales Outlier",IF(OR(O560&gt;$U$6,O560&lt;$U$4),"Profit Outlier",""))</f>
        <v/>
      </c>
    </row>
    <row r="561" customFormat="false" ht="15" hidden="false" customHeight="true" outlineLevel="0" collapsed="false">
      <c r="A561" s="8" t="s">
        <v>1299</v>
      </c>
      <c r="B561" s="11" t="n">
        <v>45565</v>
      </c>
      <c r="C561" s="11" t="n">
        <v>45570</v>
      </c>
      <c r="D561" s="8" t="s">
        <v>1003</v>
      </c>
      <c r="E561" s="8" t="s">
        <v>52</v>
      </c>
      <c r="F561" s="8" t="s">
        <v>147</v>
      </c>
      <c r="G561" s="8" t="s">
        <v>215</v>
      </c>
      <c r="H561" s="8" t="s">
        <v>132</v>
      </c>
      <c r="I561" s="8" t="s">
        <v>63</v>
      </c>
      <c r="J561" s="8" t="s">
        <v>64</v>
      </c>
      <c r="K561" s="8" t="n">
        <v>5</v>
      </c>
      <c r="L561" s="12" t="n">
        <v>128.89</v>
      </c>
      <c r="M561" s="13" t="n">
        <v>0</v>
      </c>
      <c r="N561" s="12" t="n">
        <v>644.45</v>
      </c>
      <c r="O561" s="12" t="n">
        <v>-3</v>
      </c>
      <c r="P561" s="8" t="str">
        <f aca="false">TEXT(B561,"mmm-yyyy")</f>
        <v>Sep-2024</v>
      </c>
      <c r="Q561" s="14" t="n">
        <f aca="false">IFERROR(O561/N561,"")</f>
        <v>-0.00465513228334238</v>
      </c>
      <c r="R561" s="8" t="str">
        <f aca="false">IF(OR(N561&gt;$U$3,N561&lt;$U$2),"Sales Outlier",IF(OR(O561&gt;$U$6,O561&lt;$U$4),"Profit Outlier",""))</f>
        <v/>
      </c>
    </row>
    <row r="562" customFormat="false" ht="15" hidden="false" customHeight="true" outlineLevel="0" collapsed="false">
      <c r="A562" s="8" t="s">
        <v>381</v>
      </c>
      <c r="B562" s="11" t="n">
        <v>45565</v>
      </c>
      <c r="C562" s="11" t="n">
        <v>45569</v>
      </c>
      <c r="D562" s="8" t="s">
        <v>384</v>
      </c>
      <c r="E562" s="8" t="s">
        <v>34</v>
      </c>
      <c r="F562" s="8" t="s">
        <v>126</v>
      </c>
      <c r="G562" s="8" t="s">
        <v>26</v>
      </c>
      <c r="H562" s="8" t="s">
        <v>45</v>
      </c>
      <c r="I562" s="8" t="s">
        <v>149</v>
      </c>
      <c r="J562" s="8" t="s">
        <v>64</v>
      </c>
      <c r="K562" s="8" t="n">
        <v>3</v>
      </c>
      <c r="L562" s="12" t="n">
        <v>101.95</v>
      </c>
      <c r="M562" s="13" t="n">
        <v>0.05</v>
      </c>
      <c r="N562" s="12" t="n">
        <v>290.56</v>
      </c>
      <c r="O562" s="12" t="n">
        <v>24.02</v>
      </c>
      <c r="P562" s="8" t="str">
        <f aca="false">TEXT(B562,"mmm-yyyy")</f>
        <v>Sep-2024</v>
      </c>
      <c r="Q562" s="14" t="n">
        <f aca="false">IFERROR(O562/N562,"")</f>
        <v>0.0826679515418502</v>
      </c>
      <c r="R562" s="8" t="str">
        <f aca="false">IF(OR(N562&gt;$U$3,N562&lt;$U$2),"Sales Outlier",IF(OR(O562&gt;$U$6,O562&lt;$U$4),"Profit Outlier",""))</f>
        <v/>
      </c>
    </row>
    <row r="563" customFormat="false" ht="15" hidden="false" customHeight="true" outlineLevel="0" collapsed="false">
      <c r="A563" s="8" t="s">
        <v>589</v>
      </c>
      <c r="B563" s="11" t="n">
        <v>45565</v>
      </c>
      <c r="C563" s="11" t="n">
        <v>45567</v>
      </c>
      <c r="D563" s="8" t="s">
        <v>592</v>
      </c>
      <c r="E563" s="8" t="s">
        <v>2285</v>
      </c>
      <c r="F563" s="8" t="s">
        <v>154</v>
      </c>
      <c r="G563" s="8" t="s">
        <v>119</v>
      </c>
      <c r="H563" s="8" t="s">
        <v>132</v>
      </c>
      <c r="I563" s="8" t="s">
        <v>241</v>
      </c>
      <c r="J563" s="8" t="s">
        <v>39</v>
      </c>
      <c r="K563" s="8" t="n">
        <v>2</v>
      </c>
      <c r="L563" s="12" t="n">
        <v>833.4</v>
      </c>
      <c r="M563" s="13" t="n">
        <v>0.15</v>
      </c>
      <c r="N563" s="12" t="n">
        <v>6212.69</v>
      </c>
      <c r="O563" s="12" t="n">
        <v>-733.22</v>
      </c>
      <c r="P563" s="8" t="str">
        <f aca="false">TEXT(B563,"mmm-yyyy")</f>
        <v>Sep-2024</v>
      </c>
      <c r="Q563" s="14" t="n">
        <f aca="false">IFERROR(O563/N563,"")</f>
        <v>-0.118019730583692</v>
      </c>
      <c r="R563" s="8" t="str">
        <f aca="false">IF(OR(N563&gt;$U$3,N563&lt;$U$2),"Sales Outlier",IF(OR(O563&gt;$U$6,O563&lt;$U$4),"Profit Outlier",""))</f>
        <v/>
      </c>
    </row>
    <row r="564" customFormat="false" ht="15" hidden="false" customHeight="true" outlineLevel="0" collapsed="false">
      <c r="A564" s="8" t="s">
        <v>854</v>
      </c>
      <c r="B564" s="11" t="n">
        <v>45567</v>
      </c>
      <c r="C564" s="11" t="n">
        <v>45572</v>
      </c>
      <c r="D564" s="8" t="s">
        <v>857</v>
      </c>
      <c r="E564" s="8" t="s">
        <v>24</v>
      </c>
      <c r="F564" s="8" t="s">
        <v>126</v>
      </c>
      <c r="G564" s="8" t="s">
        <v>26</v>
      </c>
      <c r="H564" s="8" t="s">
        <v>132</v>
      </c>
      <c r="I564" s="8" t="s">
        <v>241</v>
      </c>
      <c r="J564" s="8" t="s">
        <v>64</v>
      </c>
      <c r="K564" s="8" t="n">
        <v>2</v>
      </c>
      <c r="L564" s="12" t="n">
        <v>1109.07</v>
      </c>
      <c r="M564" s="13" t="n">
        <v>0</v>
      </c>
      <c r="N564" s="12" t="n">
        <v>2218.14</v>
      </c>
      <c r="O564" s="12" t="n">
        <v>603.3</v>
      </c>
      <c r="P564" s="8" t="str">
        <f aca="false">TEXT(B564,"mmm-yyyy")</f>
        <v>Oct-2024</v>
      </c>
      <c r="Q564" s="14" t="n">
        <f aca="false">IFERROR(O564/N564,"")</f>
        <v>0.27198463577592</v>
      </c>
      <c r="R564" s="8" t="str">
        <f aca="false">IF(OR(N564&gt;$U$3,N564&lt;$U$2),"Sales Outlier",IF(OR(O564&gt;$U$6,O564&lt;$U$4),"Profit Outlier",""))</f>
        <v/>
      </c>
    </row>
    <row r="565" customFormat="false" ht="15" hidden="false" customHeight="true" outlineLevel="0" collapsed="false">
      <c r="A565" s="8" t="s">
        <v>1124</v>
      </c>
      <c r="B565" s="11" t="n">
        <v>45568</v>
      </c>
      <c r="C565" s="11" t="n">
        <v>45572</v>
      </c>
      <c r="D565" s="8" t="s">
        <v>1126</v>
      </c>
      <c r="E565" s="8" t="s">
        <v>52</v>
      </c>
      <c r="F565" s="8" t="s">
        <v>61</v>
      </c>
      <c r="G565" s="8" t="s">
        <v>36</v>
      </c>
      <c r="H565" s="8" t="s">
        <v>37</v>
      </c>
      <c r="I565" s="8" t="s">
        <v>527</v>
      </c>
      <c r="J565" s="8" t="s">
        <v>39</v>
      </c>
      <c r="K565" s="8" t="n">
        <v>2</v>
      </c>
      <c r="L565" s="12" t="n">
        <v>917.41</v>
      </c>
      <c r="M565" s="13" t="n">
        <v>0.1</v>
      </c>
      <c r="N565" s="12" t="n">
        <v>825.67</v>
      </c>
      <c r="O565" s="12" t="n">
        <v>97.3</v>
      </c>
      <c r="P565" s="8" t="str">
        <f aca="false">TEXT(B565,"mmm-yyyy")</f>
        <v>Oct-2024</v>
      </c>
      <c r="Q565" s="14" t="n">
        <f aca="false">IFERROR(O565/N565,"")</f>
        <v>0.11784369057856</v>
      </c>
      <c r="R565" s="8" t="str">
        <f aca="false">IF(OR(N565&gt;$U$3,N565&lt;$U$2),"Sales Outlier",IF(OR(O565&gt;$U$6,O565&lt;$U$4),"Profit Outlier",""))</f>
        <v/>
      </c>
    </row>
    <row r="566" customFormat="false" ht="15" hidden="false" customHeight="true" outlineLevel="0" collapsed="false">
      <c r="A566" s="8" t="s">
        <v>1503</v>
      </c>
      <c r="B566" s="11" t="n">
        <v>45569</v>
      </c>
      <c r="C566" s="11" t="n">
        <v>45570</v>
      </c>
      <c r="D566" s="8" t="s">
        <v>240</v>
      </c>
      <c r="E566" s="8" t="s">
        <v>34</v>
      </c>
      <c r="F566" s="8" t="s">
        <v>154</v>
      </c>
      <c r="G566" s="8" t="s">
        <v>119</v>
      </c>
      <c r="H566" s="8" t="s">
        <v>77</v>
      </c>
      <c r="I566" s="8" t="s">
        <v>127</v>
      </c>
      <c r="J566" s="8" t="s">
        <v>64</v>
      </c>
      <c r="K566" s="8" t="n">
        <v>1</v>
      </c>
      <c r="L566" s="12" t="n">
        <v>333.58</v>
      </c>
      <c r="M566" s="13" t="n">
        <v>0.05</v>
      </c>
      <c r="N566" s="12" t="n">
        <v>316.9</v>
      </c>
      <c r="O566" s="12" t="n">
        <v>-11.46</v>
      </c>
      <c r="P566" s="8" t="str">
        <f aca="false">TEXT(B566,"mmm-yyyy")</f>
        <v>Oct-2024</v>
      </c>
      <c r="Q566" s="14" t="n">
        <f aca="false">IFERROR(O566/N566,"")</f>
        <v>-0.036162827390344</v>
      </c>
      <c r="R566" s="8" t="str">
        <f aca="false">IF(OR(N566&gt;$U$3,N566&lt;$U$2),"Sales Outlier",IF(OR(O566&gt;$U$6,O566&lt;$U$4),"Profit Outlier",""))</f>
        <v/>
      </c>
    </row>
    <row r="567" customFormat="false" ht="15" hidden="false" customHeight="true" outlineLevel="0" collapsed="false">
      <c r="A567" s="8" t="s">
        <v>65</v>
      </c>
      <c r="B567" s="11" t="n">
        <v>45572</v>
      </c>
      <c r="C567" s="11" t="n">
        <v>45575</v>
      </c>
      <c r="D567" s="8" t="s">
        <v>68</v>
      </c>
      <c r="E567" s="8" t="s">
        <v>52</v>
      </c>
      <c r="F567" s="8" t="s">
        <v>126</v>
      </c>
      <c r="G567" s="8" t="s">
        <v>26</v>
      </c>
      <c r="H567" s="8" t="s">
        <v>77</v>
      </c>
      <c r="I567" s="8" t="s">
        <v>71</v>
      </c>
      <c r="J567" s="8" t="s">
        <v>29</v>
      </c>
      <c r="K567" s="8" t="n">
        <v>2</v>
      </c>
      <c r="L567" s="12" t="n">
        <v>682.48</v>
      </c>
      <c r="M567" s="13" t="n">
        <v>0</v>
      </c>
      <c r="N567" s="12" t="n">
        <v>1364.96</v>
      </c>
      <c r="O567" s="12" t="n">
        <v>366.17</v>
      </c>
      <c r="P567" s="8" t="str">
        <f aca="false">TEXT(B567,"mmm-yyyy")</f>
        <v>Oct-2024</v>
      </c>
      <c r="Q567" s="14" t="n">
        <f aca="false">IFERROR(O567/N567,"")</f>
        <v>0.268264271480483</v>
      </c>
      <c r="R567" s="8" t="str">
        <f aca="false">IF(OR(N567&gt;$U$3,N567&lt;$U$2),"Sales Outlier",IF(OR(O567&gt;$U$6,O567&lt;$U$4),"Profit Outlier",""))</f>
        <v/>
      </c>
    </row>
    <row r="568" customFormat="false" ht="15" hidden="false" customHeight="true" outlineLevel="0" collapsed="false">
      <c r="A568" s="8" t="s">
        <v>1740</v>
      </c>
      <c r="B568" s="11" t="n">
        <v>45573</v>
      </c>
      <c r="C568" s="11" t="n">
        <v>45580</v>
      </c>
      <c r="D568" s="8" t="s">
        <v>1743</v>
      </c>
      <c r="E568" s="8" t="s">
        <v>2285</v>
      </c>
      <c r="F568" s="8" t="s">
        <v>126</v>
      </c>
      <c r="G568" s="8" t="s">
        <v>89</v>
      </c>
      <c r="H568" s="8" t="s">
        <v>132</v>
      </c>
      <c r="I568" s="8" t="s">
        <v>56</v>
      </c>
      <c r="J568" s="8" t="s">
        <v>39</v>
      </c>
      <c r="K568" s="8" t="n">
        <v>3</v>
      </c>
      <c r="L568" s="12" t="n">
        <v>365.25</v>
      </c>
      <c r="M568" s="13" t="n">
        <v>0.05</v>
      </c>
      <c r="N568" s="12" t="n">
        <v>1040.96</v>
      </c>
      <c r="O568" s="12" t="n">
        <v>83.63</v>
      </c>
      <c r="P568" s="8" t="str">
        <f aca="false">TEXT(B568,"mmm-yyyy")</f>
        <v>Oct-2024</v>
      </c>
      <c r="Q568" s="14" t="n">
        <f aca="false">IFERROR(O568/N568,"")</f>
        <v>0.0803393021826007</v>
      </c>
      <c r="R568" s="8" t="str">
        <f aca="false">IF(OR(N568&gt;$U$3,N568&lt;$U$2),"Sales Outlier",IF(OR(O568&gt;$U$6,O568&lt;$U$4),"Profit Outlier",""))</f>
        <v/>
      </c>
    </row>
    <row r="569" customFormat="false" ht="15" hidden="false" customHeight="true" outlineLevel="0" collapsed="false">
      <c r="A569" s="8" t="s">
        <v>1994</v>
      </c>
      <c r="B569" s="11" t="n">
        <v>45574</v>
      </c>
      <c r="C569" s="11" t="n">
        <v>45579</v>
      </c>
      <c r="D569" s="8" t="s">
        <v>1593</v>
      </c>
      <c r="E569" s="8" t="s">
        <v>24</v>
      </c>
      <c r="F569" s="8" t="s">
        <v>61</v>
      </c>
      <c r="G569" s="8" t="s">
        <v>62</v>
      </c>
      <c r="H569" s="8" t="s">
        <v>45</v>
      </c>
      <c r="I569" s="8" t="s">
        <v>149</v>
      </c>
      <c r="J569" s="8" t="s">
        <v>64</v>
      </c>
      <c r="K569" s="8" t="n">
        <v>2</v>
      </c>
      <c r="L569" s="12" t="n">
        <v>1082.72</v>
      </c>
      <c r="M569" s="13" t="n">
        <v>0.1</v>
      </c>
      <c r="N569" s="12" t="n">
        <v>1948.9</v>
      </c>
      <c r="O569" s="12" t="n">
        <v>299.13</v>
      </c>
      <c r="P569" s="8" t="str">
        <f aca="false">TEXT(B569,"mmm-yyyy")</f>
        <v>Oct-2024</v>
      </c>
      <c r="Q569" s="14" t="n">
        <f aca="false">IFERROR(O569/N569,"")</f>
        <v>0.15348658217456</v>
      </c>
      <c r="R569" s="8" t="str">
        <f aca="false">IF(OR(N569&gt;$U$3,N569&lt;$U$2),"Sales Outlier",IF(OR(O569&gt;$U$6,O569&lt;$U$4),"Profit Outlier",""))</f>
        <v/>
      </c>
    </row>
    <row r="570" customFormat="false" ht="15" hidden="false" customHeight="true" outlineLevel="0" collapsed="false">
      <c r="A570" s="8" t="s">
        <v>437</v>
      </c>
      <c r="B570" s="11" t="n">
        <v>45575</v>
      </c>
      <c r="C570" s="11" t="n">
        <v>45579</v>
      </c>
      <c r="D570" s="8" t="s">
        <v>440</v>
      </c>
      <c r="E570" s="8" t="s">
        <v>24</v>
      </c>
      <c r="F570" s="8" t="s">
        <v>154</v>
      </c>
      <c r="G570" s="8" t="s">
        <v>182</v>
      </c>
      <c r="H570" s="8" t="s">
        <v>114</v>
      </c>
      <c r="I570" s="8" t="s">
        <v>96</v>
      </c>
      <c r="J570" s="8" t="s">
        <v>39</v>
      </c>
      <c r="K570" s="8" t="n">
        <v>1</v>
      </c>
      <c r="L570" s="12" t="n">
        <v>155.64</v>
      </c>
      <c r="M570" s="13" t="n">
        <v>0.05</v>
      </c>
      <c r="N570" s="12" t="n">
        <v>147.86</v>
      </c>
      <c r="O570" s="12" t="n">
        <v>39.81</v>
      </c>
      <c r="P570" s="8" t="str">
        <f aca="false">TEXT(B570,"mmm-yyyy")</f>
        <v>Oct-2024</v>
      </c>
      <c r="Q570" s="14" t="n">
        <f aca="false">IFERROR(O570/N570,"")</f>
        <v>0.269241174083593</v>
      </c>
      <c r="R570" s="8" t="str">
        <f aca="false">IF(OR(N570&gt;$U$3,N570&lt;$U$2),"Sales Outlier",IF(OR(O570&gt;$U$6,O570&lt;$U$4),"Profit Outlier",""))</f>
        <v/>
      </c>
    </row>
    <row r="571" customFormat="false" ht="15" hidden="false" customHeight="true" outlineLevel="0" collapsed="false">
      <c r="A571" s="8" t="s">
        <v>1325</v>
      </c>
      <c r="B571" s="11" t="n">
        <v>45575</v>
      </c>
      <c r="C571" s="11" t="n">
        <v>45581</v>
      </c>
      <c r="D571" s="8" t="s">
        <v>354</v>
      </c>
      <c r="E571" s="8" t="s">
        <v>34</v>
      </c>
      <c r="F571" s="8" t="s">
        <v>154</v>
      </c>
      <c r="G571" s="8" t="s">
        <v>182</v>
      </c>
      <c r="H571" s="8" t="s">
        <v>37</v>
      </c>
      <c r="I571" s="8" t="s">
        <v>404</v>
      </c>
      <c r="J571" s="8" t="s">
        <v>29</v>
      </c>
      <c r="K571" s="8" t="n">
        <v>1</v>
      </c>
      <c r="L571" s="12" t="n">
        <v>800.24</v>
      </c>
      <c r="M571" s="13" t="n">
        <v>0.2</v>
      </c>
      <c r="N571" s="12" t="n">
        <v>640.19</v>
      </c>
      <c r="O571" s="12" t="n">
        <v>34.86</v>
      </c>
      <c r="P571" s="8" t="str">
        <f aca="false">TEXT(B571,"mmm-yyyy")</f>
        <v>Oct-2024</v>
      </c>
      <c r="Q571" s="14" t="n">
        <f aca="false">IFERROR(O571/N571,"")</f>
        <v>0.0544525843890095</v>
      </c>
      <c r="R571" s="8" t="str">
        <f aca="false">IF(OR(N571&gt;$U$3,N571&lt;$U$2),"Sales Outlier",IF(OR(O571&gt;$U$6,O571&lt;$U$4),"Profit Outlier",""))</f>
        <v/>
      </c>
    </row>
    <row r="572" customFormat="false" ht="15" hidden="false" customHeight="true" outlineLevel="0" collapsed="false">
      <c r="A572" s="8" t="s">
        <v>1335</v>
      </c>
      <c r="B572" s="11" t="n">
        <v>45575</v>
      </c>
      <c r="C572" s="11" t="n">
        <v>45581</v>
      </c>
      <c r="D572" s="8" t="s">
        <v>1338</v>
      </c>
      <c r="E572" s="8" t="s">
        <v>24</v>
      </c>
      <c r="F572" s="8" t="s">
        <v>154</v>
      </c>
      <c r="G572" s="8" t="s">
        <v>102</v>
      </c>
      <c r="H572" s="8" t="s">
        <v>45</v>
      </c>
      <c r="I572" s="8" t="s">
        <v>138</v>
      </c>
      <c r="J572" s="8" t="s">
        <v>64</v>
      </c>
      <c r="K572" s="8" t="n">
        <v>1</v>
      </c>
      <c r="L572" s="12" t="n">
        <v>757.33</v>
      </c>
      <c r="M572" s="13" t="n">
        <v>0.1</v>
      </c>
      <c r="N572" s="12" t="n">
        <v>681.6</v>
      </c>
      <c r="O572" s="12" t="n">
        <v>183.83</v>
      </c>
      <c r="P572" s="8" t="str">
        <f aca="false">TEXT(B572,"mmm-yyyy")</f>
        <v>Oct-2024</v>
      </c>
      <c r="Q572" s="14" t="n">
        <f aca="false">IFERROR(O572/N572,"")</f>
        <v>0.269703638497653</v>
      </c>
      <c r="R572" s="8" t="str">
        <f aca="false">IF(OR(N572&gt;$U$3,N572&lt;$U$2),"Sales Outlier",IF(OR(O572&gt;$U$6,O572&lt;$U$4),"Profit Outlier",""))</f>
        <v/>
      </c>
    </row>
    <row r="573" customFormat="false" ht="15" hidden="false" customHeight="true" outlineLevel="0" collapsed="false">
      <c r="A573" s="8" t="s">
        <v>1930</v>
      </c>
      <c r="B573" s="11" t="n">
        <v>45577</v>
      </c>
      <c r="C573" s="11" t="n">
        <v>45642</v>
      </c>
      <c r="D573" s="8" t="s">
        <v>2307</v>
      </c>
      <c r="E573" s="8" t="s">
        <v>2285</v>
      </c>
      <c r="F573" s="8" t="s">
        <v>154</v>
      </c>
      <c r="G573" s="8" t="s">
        <v>182</v>
      </c>
      <c r="H573" s="8" t="s">
        <v>45</v>
      </c>
      <c r="I573" s="8" t="s">
        <v>149</v>
      </c>
      <c r="J573" s="8" t="s">
        <v>47</v>
      </c>
      <c r="K573" s="8" t="n">
        <v>2</v>
      </c>
      <c r="L573" s="12" t="n">
        <v>1017.96</v>
      </c>
      <c r="M573" s="13" t="n">
        <v>0</v>
      </c>
      <c r="N573" s="12" t="n">
        <v>2035.92</v>
      </c>
      <c r="O573" s="12" t="n">
        <v>413.08</v>
      </c>
      <c r="P573" s="8" t="str">
        <f aca="false">TEXT(B573,"mmm-yyyy")</f>
        <v>Oct-2024</v>
      </c>
      <c r="Q573" s="14" t="n">
        <f aca="false">IFERROR(O573/N573,"")</f>
        <v>0.20289598805454</v>
      </c>
      <c r="R573" s="8" t="str">
        <f aca="false">IF(OR(N573&gt;$U$3,N573&lt;$U$2),"Sales Outlier",IF(OR(O573&gt;$U$6,O573&lt;$U$4),"Profit Outlier",""))</f>
        <v/>
      </c>
    </row>
    <row r="574" customFormat="false" ht="15" hidden="false" customHeight="true" outlineLevel="0" collapsed="false">
      <c r="A574" s="8" t="s">
        <v>373</v>
      </c>
      <c r="B574" s="11" t="n">
        <v>45579</v>
      </c>
      <c r="C574" s="11" t="n">
        <v>45583</v>
      </c>
      <c r="D574" s="8" t="s">
        <v>376</v>
      </c>
      <c r="E574" s="8" t="s">
        <v>24</v>
      </c>
      <c r="F574" s="8" t="s">
        <v>126</v>
      </c>
      <c r="G574" s="8" t="s">
        <v>82</v>
      </c>
      <c r="H574" s="8" t="s">
        <v>114</v>
      </c>
      <c r="I574" s="8" t="s">
        <v>96</v>
      </c>
      <c r="J574" s="8" t="s">
        <v>29</v>
      </c>
      <c r="K574" s="8" t="n">
        <v>2</v>
      </c>
      <c r="L574" s="12" t="n">
        <v>168.27</v>
      </c>
      <c r="M574" s="13" t="n">
        <v>0</v>
      </c>
      <c r="N574" s="12" t="n">
        <v>336.54</v>
      </c>
      <c r="O574" s="12" t="n">
        <v>113.2</v>
      </c>
      <c r="P574" s="8" t="str">
        <f aca="false">TEXT(B574,"mmm-yyyy")</f>
        <v>Oct-2024</v>
      </c>
      <c r="Q574" s="14" t="n">
        <f aca="false">IFERROR(O574/N574,"")</f>
        <v>0.336364176620907</v>
      </c>
      <c r="R574" s="8" t="str">
        <f aca="false">IF(OR(N574&gt;$U$3,N574&lt;$U$2),"Sales Outlier",IF(OR(O574&gt;$U$6,O574&lt;$U$4),"Profit Outlier",""))</f>
        <v/>
      </c>
    </row>
    <row r="575" customFormat="false" ht="15" hidden="false" customHeight="true" outlineLevel="0" collapsed="false">
      <c r="A575" s="8" t="s">
        <v>2024</v>
      </c>
      <c r="B575" s="11" t="n">
        <v>45580</v>
      </c>
      <c r="C575" s="11" t="n">
        <v>45585</v>
      </c>
      <c r="D575" s="8" t="s">
        <v>2026</v>
      </c>
      <c r="E575" s="8" t="s">
        <v>2285</v>
      </c>
      <c r="F575" s="8" t="s">
        <v>154</v>
      </c>
      <c r="G575" s="8" t="s">
        <v>119</v>
      </c>
      <c r="H575" s="8" t="s">
        <v>37</v>
      </c>
      <c r="I575" s="8" t="s">
        <v>527</v>
      </c>
      <c r="J575" s="8" t="s">
        <v>29</v>
      </c>
      <c r="K575" s="8" t="n">
        <v>3</v>
      </c>
      <c r="L575" s="12" t="n">
        <v>726.34</v>
      </c>
      <c r="M575" s="13" t="n">
        <v>0</v>
      </c>
      <c r="N575" s="12" t="n">
        <v>2179.02</v>
      </c>
      <c r="O575" s="12" t="n">
        <v>362.18</v>
      </c>
      <c r="P575" s="8" t="str">
        <f aca="false">TEXT(B575,"mmm-yyyy")</f>
        <v>Oct-2024</v>
      </c>
      <c r="Q575" s="14" t="n">
        <f aca="false">IFERROR(O575/N575,"")</f>
        <v>0.166212333985002</v>
      </c>
      <c r="R575" s="8" t="str">
        <f aca="false">IF(OR(N575&gt;$U$3,N575&lt;$U$2),"Sales Outlier",IF(OR(O575&gt;$U$6,O575&lt;$U$4),"Profit Outlier",""))</f>
        <v/>
      </c>
    </row>
    <row r="576" customFormat="false" ht="15" hidden="false" customHeight="true" outlineLevel="0" collapsed="false">
      <c r="A576" s="8" t="s">
        <v>293</v>
      </c>
      <c r="B576" s="11" t="n">
        <v>45580</v>
      </c>
      <c r="C576" s="11" t="n">
        <v>45581</v>
      </c>
      <c r="D576" s="8" t="s">
        <v>2308</v>
      </c>
      <c r="E576" s="8" t="s">
        <v>24</v>
      </c>
      <c r="F576" s="8" t="s">
        <v>61</v>
      </c>
      <c r="G576" s="8" t="s">
        <v>76</v>
      </c>
      <c r="H576" s="8" t="s">
        <v>114</v>
      </c>
      <c r="I576" s="8" t="s">
        <v>297</v>
      </c>
      <c r="J576" s="8" t="s">
        <v>47</v>
      </c>
      <c r="K576" s="8" t="n">
        <v>3</v>
      </c>
      <c r="L576" s="12" t="n">
        <v>991.15</v>
      </c>
      <c r="M576" s="13" t="n">
        <v>0.2</v>
      </c>
      <c r="N576" s="12" t="n">
        <v>2378.76</v>
      </c>
      <c r="O576" s="12" t="n">
        <v>648.08</v>
      </c>
      <c r="P576" s="8" t="str">
        <f aca="false">TEXT(B576,"mmm-yyyy")</f>
        <v>Oct-2024</v>
      </c>
      <c r="Q576" s="14" t="n">
        <f aca="false">IFERROR(O576/N576,"")</f>
        <v>0.272444466865089</v>
      </c>
      <c r="R576" s="8" t="str">
        <f aca="false">IF(OR(N576&gt;$U$3,N576&lt;$U$2),"Sales Outlier",IF(OR(O576&gt;$U$6,O576&lt;$U$4),"Profit Outlier",""))</f>
        <v/>
      </c>
    </row>
    <row r="577" customFormat="false" ht="15" hidden="false" customHeight="true" outlineLevel="0" collapsed="false">
      <c r="A577" s="8" t="s">
        <v>1426</v>
      </c>
      <c r="B577" s="11" t="n">
        <v>45581</v>
      </c>
      <c r="C577" s="11" t="n">
        <v>45584</v>
      </c>
      <c r="D577" s="8" t="s">
        <v>1148</v>
      </c>
      <c r="E577" s="8" t="s">
        <v>24</v>
      </c>
      <c r="F577" s="8" t="s">
        <v>154</v>
      </c>
      <c r="G577" s="8" t="s">
        <v>182</v>
      </c>
      <c r="H577" s="8" t="s">
        <v>37</v>
      </c>
      <c r="I577" s="8" t="s">
        <v>84</v>
      </c>
      <c r="J577" s="8" t="s">
        <v>64</v>
      </c>
      <c r="K577" s="8" t="n">
        <v>5</v>
      </c>
      <c r="L577" s="12" t="n">
        <v>75.88</v>
      </c>
      <c r="M577" s="13" t="n">
        <v>0</v>
      </c>
      <c r="N577" s="12" t="n">
        <v>379.4</v>
      </c>
      <c r="O577" s="12" t="n">
        <v>-25.31</v>
      </c>
      <c r="P577" s="8" t="str">
        <f aca="false">TEXT(B577,"mmm-yyyy")</f>
        <v>Oct-2024</v>
      </c>
      <c r="Q577" s="14" t="n">
        <f aca="false">IFERROR(O577/N577,"")</f>
        <v>-0.0667105956773853</v>
      </c>
      <c r="R577" s="8" t="str">
        <f aca="false">IF(OR(N577&gt;$U$3,N577&lt;$U$2),"Sales Outlier",IF(OR(O577&gt;$U$6,O577&lt;$U$4),"Profit Outlier",""))</f>
        <v/>
      </c>
    </row>
    <row r="578" customFormat="false" ht="15" hidden="false" customHeight="true" outlineLevel="0" collapsed="false">
      <c r="A578" s="8" t="s">
        <v>750</v>
      </c>
      <c r="B578" s="11" t="n">
        <v>45585</v>
      </c>
      <c r="C578" s="11" t="n">
        <v>45587</v>
      </c>
      <c r="D578" s="8" t="s">
        <v>753</v>
      </c>
      <c r="E578" s="8" t="s">
        <v>52</v>
      </c>
      <c r="F578" s="8" t="s">
        <v>147</v>
      </c>
      <c r="G578" s="8" t="s">
        <v>215</v>
      </c>
      <c r="H578" s="8" t="s">
        <v>45</v>
      </c>
      <c r="I578" s="8" t="s">
        <v>46</v>
      </c>
      <c r="J578" s="8" t="s">
        <v>47</v>
      </c>
      <c r="K578" s="8" t="n">
        <v>1</v>
      </c>
      <c r="L578" s="12" t="n">
        <v>865.38</v>
      </c>
      <c r="M578" s="13" t="n">
        <v>0.15</v>
      </c>
      <c r="N578" s="12" t="n">
        <v>735.57</v>
      </c>
      <c r="O578" s="12" t="n">
        <v>125.5</v>
      </c>
      <c r="P578" s="8" t="str">
        <f aca="false">TEXT(B578,"mmm-yyyy")</f>
        <v>Oct-2024</v>
      </c>
      <c r="Q578" s="14" t="n">
        <f aca="false">IFERROR(O578/N578,"")</f>
        <v>0.170615984882472</v>
      </c>
      <c r="R578" s="8" t="str">
        <f aca="false">IF(OR(N578&gt;$U$3,N578&lt;$U$2),"Sales Outlier",IF(OR(O578&gt;$U$6,O578&lt;$U$4),"Profit Outlier",""))</f>
        <v/>
      </c>
    </row>
    <row r="579" customFormat="false" ht="15" hidden="false" customHeight="true" outlineLevel="0" collapsed="false">
      <c r="A579" s="8" t="s">
        <v>912</v>
      </c>
      <c r="B579" s="11" t="n">
        <v>45585</v>
      </c>
      <c r="C579" s="11" t="n">
        <v>45587</v>
      </c>
      <c r="D579" s="8" t="s">
        <v>915</v>
      </c>
      <c r="E579" s="8" t="s">
        <v>24</v>
      </c>
      <c r="F579" s="8" t="s">
        <v>61</v>
      </c>
      <c r="G579" s="8" t="s">
        <v>76</v>
      </c>
      <c r="H579" s="8" t="s">
        <v>114</v>
      </c>
      <c r="I579" s="8" t="s">
        <v>96</v>
      </c>
      <c r="J579" s="8" t="s">
        <v>64</v>
      </c>
      <c r="K579" s="8" t="n">
        <v>4</v>
      </c>
      <c r="L579" s="12" t="n">
        <v>657.49</v>
      </c>
      <c r="M579" s="13" t="n">
        <v>0</v>
      </c>
      <c r="N579" s="12" t="n">
        <v>2629.96</v>
      </c>
      <c r="O579" s="12" t="n">
        <v>-188.32</v>
      </c>
      <c r="P579" s="8" t="str">
        <f aca="false">TEXT(B579,"mmm-yyyy")</f>
        <v>Oct-2024</v>
      </c>
      <c r="Q579" s="14" t="n">
        <f aca="false">IFERROR(O579/N579,"")</f>
        <v>-0.0716056517969855</v>
      </c>
      <c r="R579" s="8" t="str">
        <f aca="false">IF(OR(N579&gt;$U$3,N579&lt;$U$2),"Sales Outlier",IF(OR(O579&gt;$U$6,O579&lt;$U$4),"Profit Outlier",""))</f>
        <v/>
      </c>
    </row>
    <row r="580" customFormat="false" ht="15" hidden="false" customHeight="true" outlineLevel="0" collapsed="false">
      <c r="A580" s="8" t="s">
        <v>1163</v>
      </c>
      <c r="B580" s="11" t="n">
        <v>45585</v>
      </c>
      <c r="C580" s="11" t="n">
        <v>45588</v>
      </c>
      <c r="D580" s="8" t="s">
        <v>1165</v>
      </c>
      <c r="E580" s="8" t="s">
        <v>52</v>
      </c>
      <c r="F580" s="8" t="s">
        <v>154</v>
      </c>
      <c r="G580" s="8" t="s">
        <v>182</v>
      </c>
      <c r="H580" s="8" t="s">
        <v>37</v>
      </c>
      <c r="I580" s="8" t="s">
        <v>84</v>
      </c>
      <c r="J580" s="8" t="s">
        <v>39</v>
      </c>
      <c r="K580" s="8" t="n">
        <v>3</v>
      </c>
      <c r="L580" s="12" t="n">
        <v>856.72</v>
      </c>
      <c r="M580" s="13" t="n">
        <v>0</v>
      </c>
      <c r="N580" s="12" t="n">
        <v>2570.16</v>
      </c>
      <c r="O580" s="12" t="n">
        <v>289.68</v>
      </c>
      <c r="P580" s="8" t="str">
        <f aca="false">TEXT(B580,"mmm-yyyy")</f>
        <v>Oct-2024</v>
      </c>
      <c r="Q580" s="14" t="n">
        <f aca="false">IFERROR(O580/N580,"")</f>
        <v>0.112708936408628</v>
      </c>
      <c r="R580" s="8" t="str">
        <f aca="false">IF(OR(N580&gt;$U$3,N580&lt;$U$2),"Sales Outlier",IF(OR(O580&gt;$U$6,O580&lt;$U$4),"Profit Outlier",""))</f>
        <v/>
      </c>
    </row>
    <row r="581" customFormat="false" ht="15" hidden="false" customHeight="true" outlineLevel="0" collapsed="false">
      <c r="A581" s="8" t="s">
        <v>2104</v>
      </c>
      <c r="B581" s="11" t="n">
        <v>45586</v>
      </c>
      <c r="C581" s="11" t="n">
        <v>45588</v>
      </c>
      <c r="D581" s="8" t="s">
        <v>2107</v>
      </c>
      <c r="E581" s="8" t="s">
        <v>2285</v>
      </c>
      <c r="F581" s="8" t="s">
        <v>147</v>
      </c>
      <c r="G581" s="8" t="s">
        <v>54</v>
      </c>
      <c r="H581" s="8" t="s">
        <v>37</v>
      </c>
      <c r="I581" s="8" t="s">
        <v>84</v>
      </c>
      <c r="J581" s="8" t="s">
        <v>39</v>
      </c>
      <c r="K581" s="8" t="n">
        <v>2</v>
      </c>
      <c r="L581" s="12" t="n">
        <v>841.85</v>
      </c>
      <c r="M581" s="13" t="n">
        <v>0.15</v>
      </c>
      <c r="N581" s="12" t="n">
        <v>1431.14</v>
      </c>
      <c r="O581" s="12" t="n">
        <v>424.25</v>
      </c>
      <c r="P581" s="8" t="str">
        <f aca="false">TEXT(B581,"mmm-yyyy")</f>
        <v>Oct-2024</v>
      </c>
      <c r="Q581" s="14" t="n">
        <f aca="false">IFERROR(O581/N581,"")</f>
        <v>0.296441997288875</v>
      </c>
      <c r="R581" s="8" t="str">
        <f aca="false">IF(OR(N581&gt;$U$3,N581&lt;$U$2),"Sales Outlier",IF(OR(O581&gt;$U$6,O581&lt;$U$4),"Profit Outlier",""))</f>
        <v/>
      </c>
    </row>
    <row r="582" customFormat="false" ht="15" hidden="false" customHeight="true" outlineLevel="0" collapsed="false">
      <c r="A582" s="8" t="s">
        <v>1825</v>
      </c>
      <c r="B582" s="11" t="n">
        <v>45587</v>
      </c>
      <c r="C582" s="11" t="n">
        <v>45590</v>
      </c>
      <c r="D582" s="8" t="s">
        <v>1828</v>
      </c>
      <c r="E582" s="8" t="s">
        <v>2285</v>
      </c>
      <c r="F582" s="8" t="s">
        <v>154</v>
      </c>
      <c r="G582" s="8" t="s">
        <v>102</v>
      </c>
      <c r="H582" s="8" t="s">
        <v>132</v>
      </c>
      <c r="I582" s="8" t="s">
        <v>133</v>
      </c>
      <c r="J582" s="8" t="s">
        <v>29</v>
      </c>
      <c r="K582" s="8" t="n">
        <v>2</v>
      </c>
      <c r="L582" s="12" t="n">
        <v>1002.76</v>
      </c>
      <c r="M582" s="13" t="n">
        <v>0.2</v>
      </c>
      <c r="N582" s="12" t="n">
        <v>1604.42</v>
      </c>
      <c r="O582" s="12" t="n">
        <v>59.1</v>
      </c>
      <c r="P582" s="8" t="str">
        <f aca="false">TEXT(B582,"mmm-yyyy")</f>
        <v>Oct-2024</v>
      </c>
      <c r="Q582" s="14" t="n">
        <f aca="false">IFERROR(O582/N582,"")</f>
        <v>0.0368357412647561</v>
      </c>
      <c r="R582" s="8" t="str">
        <f aca="false">IF(OR(N582&gt;$U$3,N582&lt;$U$2),"Sales Outlier",IF(OR(O582&gt;$U$6,O582&lt;$U$4),"Profit Outlier",""))</f>
        <v/>
      </c>
    </row>
    <row r="583" customFormat="false" ht="15" hidden="false" customHeight="true" outlineLevel="0" collapsed="false">
      <c r="A583" s="8" t="s">
        <v>2081</v>
      </c>
      <c r="B583" s="11" t="n">
        <v>45589</v>
      </c>
      <c r="C583" s="11" t="n">
        <v>45594</v>
      </c>
      <c r="D583" s="8" t="s">
        <v>346</v>
      </c>
      <c r="E583" s="8" t="s">
        <v>2285</v>
      </c>
      <c r="F583" s="8" t="s">
        <v>126</v>
      </c>
      <c r="G583" s="8" t="s">
        <v>89</v>
      </c>
      <c r="H583" s="8" t="s">
        <v>37</v>
      </c>
      <c r="I583" s="8" t="s">
        <v>84</v>
      </c>
      <c r="J583" s="8" t="s">
        <v>47</v>
      </c>
      <c r="K583" s="8" t="n">
        <v>1</v>
      </c>
      <c r="L583" s="12" t="n">
        <v>860.37</v>
      </c>
      <c r="M583" s="13" t="n">
        <v>0.2</v>
      </c>
      <c r="N583" s="12" t="n">
        <v>688.3</v>
      </c>
      <c r="O583" s="12" t="n">
        <v>169.28</v>
      </c>
      <c r="P583" s="8" t="str">
        <f aca="false">TEXT(B583,"mmm-yyyy")</f>
        <v>Oct-2024</v>
      </c>
      <c r="Q583" s="14" t="n">
        <f aca="false">IFERROR(O583/N583,"")</f>
        <v>0.24593927066686</v>
      </c>
      <c r="R583" s="8" t="str">
        <f aca="false">IF(OR(N583&gt;$U$3,N583&lt;$U$2),"Sales Outlier",IF(OR(O583&gt;$U$6,O583&lt;$U$4),"Profit Outlier",""))</f>
        <v/>
      </c>
    </row>
    <row r="584" customFormat="false" ht="15" hidden="false" customHeight="true" outlineLevel="0" collapsed="false">
      <c r="A584" s="8" t="s">
        <v>884</v>
      </c>
      <c r="B584" s="11" t="n">
        <v>45590</v>
      </c>
      <c r="C584" s="11" t="n">
        <v>45596</v>
      </c>
      <c r="D584" s="8" t="s">
        <v>2309</v>
      </c>
      <c r="E584" s="8" t="s">
        <v>34</v>
      </c>
      <c r="F584" s="8" t="s">
        <v>61</v>
      </c>
      <c r="G584" s="8" t="s">
        <v>76</v>
      </c>
      <c r="H584" s="8" t="s">
        <v>114</v>
      </c>
      <c r="I584" s="8" t="s">
        <v>201</v>
      </c>
      <c r="J584" s="8" t="s">
        <v>64</v>
      </c>
      <c r="K584" s="8" t="n">
        <v>3</v>
      </c>
      <c r="L584" s="12" t="n">
        <v>436.32</v>
      </c>
      <c r="M584" s="13" t="n">
        <v>0</v>
      </c>
      <c r="N584" s="12" t="n">
        <v>1308.96</v>
      </c>
      <c r="O584" s="12" t="n">
        <v>357.76</v>
      </c>
      <c r="P584" s="8" t="str">
        <f aca="false">TEXT(B584,"mmm-yyyy")</f>
        <v>Oct-2024</v>
      </c>
      <c r="Q584" s="14" t="n">
        <f aca="false">IFERROR(O584/N584,"")</f>
        <v>0.27331622051094</v>
      </c>
      <c r="R584" s="8" t="str">
        <f aca="false">IF(OR(N584&gt;$U$3,N584&lt;$U$2),"Sales Outlier",IF(OR(O584&gt;$U$6,O584&lt;$U$4),"Profit Outlier",""))</f>
        <v/>
      </c>
    </row>
    <row r="585" customFormat="false" ht="15" hidden="false" customHeight="true" outlineLevel="0" collapsed="false">
      <c r="A585" s="8" t="s">
        <v>2176</v>
      </c>
      <c r="B585" s="11" t="n">
        <v>45590</v>
      </c>
      <c r="C585" s="11" t="n">
        <v>45591</v>
      </c>
      <c r="D585" s="8" t="s">
        <v>1389</v>
      </c>
      <c r="E585" s="8" t="s">
        <v>34</v>
      </c>
      <c r="F585" s="8" t="s">
        <v>126</v>
      </c>
      <c r="G585" s="8" t="s">
        <v>82</v>
      </c>
      <c r="H585" s="8" t="s">
        <v>132</v>
      </c>
      <c r="I585" s="8" t="s">
        <v>63</v>
      </c>
      <c r="J585" s="8" t="s">
        <v>64</v>
      </c>
      <c r="K585" s="8" t="n">
        <v>4</v>
      </c>
      <c r="L585" s="12" t="n">
        <v>1098.73</v>
      </c>
      <c r="M585" s="13" t="n">
        <v>0.05</v>
      </c>
      <c r="N585" s="12" t="n">
        <v>4175.17</v>
      </c>
      <c r="O585" s="12" t="n">
        <v>154.33</v>
      </c>
      <c r="P585" s="8" t="str">
        <f aca="false">TEXT(B585,"mmm-yyyy")</f>
        <v>Oct-2024</v>
      </c>
      <c r="Q585" s="14" t="n">
        <f aca="false">IFERROR(O585/N585,"")</f>
        <v>0.0369637643497151</v>
      </c>
      <c r="R585" s="8" t="str">
        <f aca="false">IF(OR(N585&gt;$U$3,N585&lt;$U$2),"Sales Outlier",IF(OR(O585&gt;$U$6,O585&lt;$U$4),"Profit Outlier",""))</f>
        <v/>
      </c>
    </row>
    <row r="586" customFormat="false" ht="15" hidden="false" customHeight="true" outlineLevel="0" collapsed="false">
      <c r="A586" s="8" t="s">
        <v>1736</v>
      </c>
      <c r="B586" s="11" t="n">
        <v>45590</v>
      </c>
      <c r="C586" s="11" t="n">
        <v>45597</v>
      </c>
      <c r="D586" s="8" t="s">
        <v>1739</v>
      </c>
      <c r="E586" s="8" t="s">
        <v>24</v>
      </c>
      <c r="F586" s="8" t="s">
        <v>147</v>
      </c>
      <c r="G586" s="8" t="s">
        <v>326</v>
      </c>
      <c r="H586" s="8" t="s">
        <v>77</v>
      </c>
      <c r="I586" s="8" t="s">
        <v>78</v>
      </c>
      <c r="J586" s="8" t="s">
        <v>39</v>
      </c>
      <c r="K586" s="8" t="n">
        <v>2</v>
      </c>
      <c r="L586" s="12" t="n">
        <v>590.91</v>
      </c>
      <c r="M586" s="13" t="n">
        <v>0.15</v>
      </c>
      <c r="N586" s="12" t="n">
        <v>502.27</v>
      </c>
      <c r="O586" s="12" t="n">
        <v>116.17</v>
      </c>
      <c r="P586" s="8" t="str">
        <f aca="false">TEXT(B586,"mmm-yyyy")</f>
        <v>Oct-2024</v>
      </c>
      <c r="Q586" s="14" t="n">
        <f aca="false">IFERROR(O586/N586,"")</f>
        <v>0.231289943655803</v>
      </c>
      <c r="R586" s="8" t="str">
        <f aca="false">IF(OR(N586&gt;$U$3,N586&lt;$U$2),"Sales Outlier",IF(OR(O586&gt;$U$6,O586&lt;$U$4),"Profit Outlier",""))</f>
        <v/>
      </c>
    </row>
    <row r="587" customFormat="false" ht="15" hidden="false" customHeight="true" outlineLevel="0" collapsed="false">
      <c r="A587" s="8" t="s">
        <v>794</v>
      </c>
      <c r="B587" s="11" t="n">
        <v>45594</v>
      </c>
      <c r="C587" s="11" t="n">
        <v>45601</v>
      </c>
      <c r="D587" s="8" t="s">
        <v>797</v>
      </c>
      <c r="E587" s="8" t="s">
        <v>24</v>
      </c>
      <c r="F587" s="8" t="s">
        <v>154</v>
      </c>
      <c r="G587" s="8" t="s">
        <v>119</v>
      </c>
      <c r="H587" s="8" t="s">
        <v>132</v>
      </c>
      <c r="I587" s="8" t="s">
        <v>220</v>
      </c>
      <c r="J587" s="8" t="s">
        <v>47</v>
      </c>
      <c r="K587" s="8" t="n">
        <v>1</v>
      </c>
      <c r="L587" s="12" t="n">
        <v>299.35</v>
      </c>
      <c r="M587" s="13" t="n">
        <v>0.2</v>
      </c>
      <c r="N587" s="12" t="n">
        <v>239.48</v>
      </c>
      <c r="O587" s="12" t="n">
        <v>16.28</v>
      </c>
      <c r="P587" s="8" t="str">
        <f aca="false">TEXT(B587,"mmm-yyyy")</f>
        <v>Oct-2024</v>
      </c>
      <c r="Q587" s="14" t="n">
        <f aca="false">IFERROR(O587/N587,"")</f>
        <v>0.0679806246868215</v>
      </c>
      <c r="R587" s="8" t="str">
        <f aca="false">IF(OR(N587&gt;$U$3,N587&lt;$U$2),"Sales Outlier",IF(OR(O587&gt;$U$6,O587&lt;$U$4),"Profit Outlier",""))</f>
        <v/>
      </c>
    </row>
    <row r="588" customFormat="false" ht="15" hidden="false" customHeight="true" outlineLevel="0" collapsed="false">
      <c r="A588" s="8" t="s">
        <v>2022</v>
      </c>
      <c r="B588" s="11" t="n">
        <v>45595</v>
      </c>
      <c r="C588" s="11" t="n">
        <v>45596</v>
      </c>
      <c r="D588" s="8" t="s">
        <v>2282</v>
      </c>
      <c r="E588" s="8" t="s">
        <v>2285</v>
      </c>
      <c r="F588" s="8" t="s">
        <v>147</v>
      </c>
      <c r="G588" s="8" t="s">
        <v>215</v>
      </c>
      <c r="H588" s="8" t="s">
        <v>45</v>
      </c>
      <c r="I588" s="8" t="s">
        <v>28</v>
      </c>
      <c r="J588" s="8" t="s">
        <v>64</v>
      </c>
      <c r="K588" s="8" t="n">
        <v>2</v>
      </c>
      <c r="L588" s="12" t="n">
        <v>1124.63</v>
      </c>
      <c r="M588" s="13" t="n">
        <v>0.1</v>
      </c>
      <c r="N588" s="12" t="n">
        <v>1012.17</v>
      </c>
      <c r="O588" s="12" t="n">
        <v>-9.89</v>
      </c>
      <c r="P588" s="8" t="str">
        <f aca="false">TEXT(B588,"mmm-yyyy")</f>
        <v>Oct-2024</v>
      </c>
      <c r="Q588" s="14" t="n">
        <f aca="false">IFERROR(O588/N588,"")</f>
        <v>-0.0097710858847822</v>
      </c>
      <c r="R588" s="8" t="str">
        <f aca="false">IF(OR(N588&gt;$U$3,N588&lt;$U$2),"Sales Outlier",IF(OR(O588&gt;$U$6,O588&lt;$U$4),"Profit Outlier",""))</f>
        <v/>
      </c>
    </row>
    <row r="589" customFormat="false" ht="15" hidden="false" customHeight="true" outlineLevel="0" collapsed="false">
      <c r="A589" s="8" t="s">
        <v>762</v>
      </c>
      <c r="B589" s="11" t="n">
        <v>45596</v>
      </c>
      <c r="C589" s="11" t="n">
        <v>45598</v>
      </c>
      <c r="D589" s="8" t="s">
        <v>765</v>
      </c>
      <c r="E589" s="8" t="s">
        <v>2285</v>
      </c>
      <c r="F589" s="8" t="s">
        <v>154</v>
      </c>
      <c r="G589" s="8" t="s">
        <v>119</v>
      </c>
      <c r="H589" s="8" t="s">
        <v>77</v>
      </c>
      <c r="I589" s="8" t="s">
        <v>425</v>
      </c>
      <c r="J589" s="8" t="s">
        <v>64</v>
      </c>
      <c r="K589" s="8" t="n">
        <v>2</v>
      </c>
      <c r="L589" s="12" t="n">
        <v>11.8</v>
      </c>
      <c r="M589" s="13" t="n">
        <v>0</v>
      </c>
      <c r="N589" s="12" t="n">
        <v>23.6</v>
      </c>
      <c r="O589" s="12" t="n">
        <v>5.22</v>
      </c>
      <c r="P589" s="8" t="str">
        <f aca="false">TEXT(B589,"mmm-yyyy")</f>
        <v>Oct-2024</v>
      </c>
      <c r="Q589" s="14" t="n">
        <f aca="false">IFERROR(O589/N589,"")</f>
        <v>0.221186440677966</v>
      </c>
      <c r="R589" s="8" t="str">
        <f aca="false">IF(OR(N589&gt;$U$3,N589&lt;$U$2),"Sales Outlier",IF(OR(O589&gt;$U$6,O589&lt;$U$4),"Profit Outlier",""))</f>
        <v/>
      </c>
    </row>
    <row r="590" customFormat="false" ht="15" hidden="false" customHeight="true" outlineLevel="0" collapsed="false">
      <c r="A590" s="8" t="s">
        <v>1551</v>
      </c>
      <c r="B590" s="11" t="n">
        <v>45598</v>
      </c>
      <c r="C590" s="11" t="n">
        <v>45602</v>
      </c>
      <c r="D590" s="8" t="s">
        <v>464</v>
      </c>
      <c r="E590" s="8" t="s">
        <v>52</v>
      </c>
      <c r="F590" s="8" t="s">
        <v>154</v>
      </c>
      <c r="G590" s="8" t="s">
        <v>182</v>
      </c>
      <c r="H590" s="8" t="s">
        <v>45</v>
      </c>
      <c r="I590" s="8" t="s">
        <v>28</v>
      </c>
      <c r="J590" s="8" t="s">
        <v>47</v>
      </c>
      <c r="K590" s="8" t="n">
        <v>1</v>
      </c>
      <c r="L590" s="12" t="n">
        <v>1116.6</v>
      </c>
      <c r="M590" s="13" t="n">
        <v>0.05</v>
      </c>
      <c r="N590" s="12" t="n">
        <v>1060.77</v>
      </c>
      <c r="O590" s="12" t="n">
        <v>248.82</v>
      </c>
      <c r="P590" s="8" t="str">
        <f aca="false">TEXT(B590,"mmm-yyyy")</f>
        <v>Nov-2024</v>
      </c>
      <c r="Q590" s="14" t="n">
        <f aca="false">IFERROR(O590/N590,"")</f>
        <v>0.234565457167906</v>
      </c>
      <c r="R590" s="8" t="str">
        <f aca="false">IF(OR(N590&gt;$U$3,N590&lt;$U$2),"Sales Outlier",IF(OR(O590&gt;$U$6,O590&lt;$U$4),"Profit Outlier",""))</f>
        <v/>
      </c>
    </row>
    <row r="591" customFormat="false" ht="15" hidden="false" customHeight="true" outlineLevel="0" collapsed="false">
      <c r="A591" s="8" t="s">
        <v>740</v>
      </c>
      <c r="B591" s="11" t="n">
        <v>45599</v>
      </c>
      <c r="C591" s="11" t="n">
        <v>45604</v>
      </c>
      <c r="D591" s="8" t="s">
        <v>43</v>
      </c>
      <c r="E591" s="8" t="s">
        <v>52</v>
      </c>
      <c r="F591" s="8" t="s">
        <v>147</v>
      </c>
      <c r="G591" s="8" t="s">
        <v>215</v>
      </c>
      <c r="H591" s="8" t="s">
        <v>37</v>
      </c>
      <c r="I591" s="8" t="s">
        <v>143</v>
      </c>
      <c r="J591" s="8" t="s">
        <v>39</v>
      </c>
      <c r="K591" s="8" t="n">
        <v>5</v>
      </c>
      <c r="L591" s="12" t="n">
        <v>344.56</v>
      </c>
      <c r="M591" s="13" t="n">
        <v>0</v>
      </c>
      <c r="N591" s="12" t="n">
        <v>1722.8</v>
      </c>
      <c r="O591" s="12" t="n">
        <v>577.94</v>
      </c>
      <c r="P591" s="8" t="str">
        <f aca="false">TEXT(B591,"mmm-yyyy")</f>
        <v>Nov-2024</v>
      </c>
      <c r="Q591" s="14" t="n">
        <f aca="false">IFERROR(O591/N591,"")</f>
        <v>0.335465521244486</v>
      </c>
      <c r="R591" s="8" t="str">
        <f aca="false">IF(OR(N591&gt;$U$3,N591&lt;$U$2),"Sales Outlier",IF(OR(O591&gt;$U$6,O591&lt;$U$4),"Profit Outlier",""))</f>
        <v/>
      </c>
    </row>
    <row r="592" customFormat="false" ht="15" hidden="false" customHeight="true" outlineLevel="0" collapsed="false">
      <c r="A592" s="8" t="s">
        <v>85</v>
      </c>
      <c r="B592" s="11" t="n">
        <v>45602</v>
      </c>
      <c r="C592" s="11" t="n">
        <v>45607</v>
      </c>
      <c r="D592" s="8" t="s">
        <v>2310</v>
      </c>
      <c r="E592" s="8" t="s">
        <v>52</v>
      </c>
      <c r="F592" s="8" t="s">
        <v>126</v>
      </c>
      <c r="G592" s="8" t="s">
        <v>89</v>
      </c>
      <c r="H592" s="8" t="s">
        <v>77</v>
      </c>
      <c r="I592" s="8" t="s">
        <v>71</v>
      </c>
      <c r="J592" s="8" t="s">
        <v>39</v>
      </c>
      <c r="K592" s="8" t="n">
        <v>2</v>
      </c>
      <c r="L592" s="12" t="n">
        <v>133.84</v>
      </c>
      <c r="M592" s="13" t="n">
        <v>0</v>
      </c>
      <c r="N592" s="12" t="n">
        <v>267.68</v>
      </c>
      <c r="O592" s="12" t="n">
        <v>-25.53</v>
      </c>
      <c r="P592" s="8" t="str">
        <f aca="false">TEXT(B592,"mmm-yyyy")</f>
        <v>Nov-2024</v>
      </c>
      <c r="Q592" s="14" t="n">
        <f aca="false">IFERROR(O592/N592,"")</f>
        <v>-0.0953750747160789</v>
      </c>
      <c r="R592" s="8" t="str">
        <f aca="false">IF(OR(N592&gt;$U$3,N592&lt;$U$2),"Sales Outlier",IF(OR(O592&gt;$U$6,O592&lt;$U$4),"Profit Outlier",""))</f>
        <v/>
      </c>
    </row>
    <row r="593" customFormat="false" ht="15" hidden="false" customHeight="true" outlineLevel="0" collapsed="false">
      <c r="A593" s="8" t="s">
        <v>1200</v>
      </c>
      <c r="B593" s="11" t="n">
        <v>45604</v>
      </c>
      <c r="C593" s="11" t="n">
        <v>45518</v>
      </c>
      <c r="D593" s="8" t="s">
        <v>1203</v>
      </c>
      <c r="E593" s="8" t="s">
        <v>52</v>
      </c>
      <c r="F593" s="8" t="s">
        <v>126</v>
      </c>
      <c r="G593" s="8" t="s">
        <v>82</v>
      </c>
      <c r="H593" s="8" t="s">
        <v>77</v>
      </c>
      <c r="I593" s="8" t="s">
        <v>71</v>
      </c>
      <c r="J593" s="8" t="s">
        <v>47</v>
      </c>
      <c r="K593" s="8" t="n">
        <v>2</v>
      </c>
      <c r="L593" s="12" t="n">
        <v>460.73</v>
      </c>
      <c r="M593" s="13" t="n">
        <v>0.1</v>
      </c>
      <c r="N593" s="12" t="n">
        <v>829.31</v>
      </c>
      <c r="O593" s="12" t="n">
        <v>128.27</v>
      </c>
      <c r="P593" s="8" t="str">
        <f aca="false">TEXT(B593,"mmm-yyyy")</f>
        <v>Nov-2024</v>
      </c>
      <c r="Q593" s="14" t="n">
        <f aca="false">IFERROR(O593/N593,"")</f>
        <v>0.154670750382848</v>
      </c>
      <c r="R593" s="8" t="str">
        <f aca="false">IF(OR(N593&gt;$U$3,N593&lt;$U$2),"Sales Outlier",IF(OR(O593&gt;$U$6,O593&lt;$U$4),"Profit Outlier",""))</f>
        <v/>
      </c>
    </row>
    <row r="594" customFormat="false" ht="15" hidden="false" customHeight="true" outlineLevel="0" collapsed="false">
      <c r="A594" s="8" t="s">
        <v>1215</v>
      </c>
      <c r="B594" s="11" t="n">
        <v>45606</v>
      </c>
      <c r="C594" s="11" t="n">
        <v>45611</v>
      </c>
      <c r="D594" s="8" t="s">
        <v>429</v>
      </c>
      <c r="E594" s="8" t="s">
        <v>52</v>
      </c>
      <c r="F594" s="8" t="s">
        <v>147</v>
      </c>
      <c r="G594" s="8" t="s">
        <v>215</v>
      </c>
      <c r="H594" s="8" t="s">
        <v>37</v>
      </c>
      <c r="I594" s="8" t="s">
        <v>527</v>
      </c>
      <c r="J594" s="8" t="s">
        <v>29</v>
      </c>
      <c r="K594" s="8" t="n">
        <v>5</v>
      </c>
      <c r="L594" s="12" t="n">
        <v>831.69</v>
      </c>
      <c r="M594" s="13" t="n">
        <v>0.1</v>
      </c>
      <c r="N594" s="12" t="n">
        <v>3742.61</v>
      </c>
      <c r="O594" s="12" t="n">
        <v>809.47</v>
      </c>
      <c r="P594" s="8" t="str">
        <f aca="false">TEXT(B594,"mmm-yyyy")</f>
        <v>Nov-2024</v>
      </c>
      <c r="Q594" s="14" t="n">
        <f aca="false">IFERROR(O594/N594,"")</f>
        <v>0.21628489209402</v>
      </c>
      <c r="R594" s="8" t="str">
        <f aca="false">IF(OR(N594&gt;$U$3,N594&lt;$U$2),"Sales Outlier",IF(OR(O594&gt;$U$6,O594&lt;$U$4),"Profit Outlier",""))</f>
        <v/>
      </c>
    </row>
    <row r="595" customFormat="false" ht="15" hidden="false" customHeight="true" outlineLevel="0" collapsed="false">
      <c r="A595" s="8" t="s">
        <v>1111</v>
      </c>
      <c r="B595" s="11" t="n">
        <v>45607</v>
      </c>
      <c r="C595" s="11" t="n">
        <v>45612</v>
      </c>
      <c r="D595" s="8" t="s">
        <v>416</v>
      </c>
      <c r="E595" s="8" t="s">
        <v>2285</v>
      </c>
      <c r="F595" s="8" t="s">
        <v>126</v>
      </c>
      <c r="G595" s="8" t="s">
        <v>89</v>
      </c>
      <c r="H595" s="8" t="s">
        <v>77</v>
      </c>
      <c r="I595" s="8" t="s">
        <v>121</v>
      </c>
      <c r="J595" s="8" t="s">
        <v>29</v>
      </c>
      <c r="K595" s="8" t="n">
        <v>4</v>
      </c>
      <c r="L595" s="12" t="n">
        <v>111.73</v>
      </c>
      <c r="M595" s="13" t="n">
        <v>0.2</v>
      </c>
      <c r="N595" s="12" t="n">
        <v>357.54</v>
      </c>
      <c r="O595" s="12" t="n">
        <v>46.18</v>
      </c>
      <c r="P595" s="8" t="str">
        <f aca="false">TEXT(B595,"mmm-yyyy")</f>
        <v>Nov-2024</v>
      </c>
      <c r="Q595" s="14" t="n">
        <f aca="false">IFERROR(O595/N595,"")</f>
        <v>0.129160373664485</v>
      </c>
      <c r="R595" s="8" t="str">
        <f aca="false">IF(OR(N595&gt;$U$3,N595&lt;$U$2),"Sales Outlier",IF(OR(O595&gt;$U$6,O595&lt;$U$4),"Profit Outlier",""))</f>
        <v/>
      </c>
    </row>
    <row r="596" customFormat="false" ht="15" hidden="false" customHeight="true" outlineLevel="0" collapsed="false">
      <c r="A596" s="8" t="s">
        <v>646</v>
      </c>
      <c r="B596" s="11" t="n">
        <v>45607</v>
      </c>
      <c r="C596" s="11" t="n">
        <v>45610</v>
      </c>
      <c r="D596" s="8" t="s">
        <v>649</v>
      </c>
      <c r="E596" s="8" t="s">
        <v>52</v>
      </c>
      <c r="F596" s="8" t="s">
        <v>147</v>
      </c>
      <c r="G596" s="8" t="s">
        <v>326</v>
      </c>
      <c r="H596" s="8" t="s">
        <v>77</v>
      </c>
      <c r="I596" s="8" t="s">
        <v>71</v>
      </c>
      <c r="J596" s="8" t="s">
        <v>64</v>
      </c>
      <c r="K596" s="8" t="n">
        <v>2</v>
      </c>
      <c r="L596" s="12" t="n">
        <v>440.24</v>
      </c>
      <c r="M596" s="13" t="n">
        <v>0</v>
      </c>
      <c r="N596" s="12" t="n">
        <v>880.48</v>
      </c>
      <c r="O596" s="12" t="n">
        <v>73.76</v>
      </c>
      <c r="P596" s="8" t="str">
        <f aca="false">TEXT(B596,"mmm-yyyy")</f>
        <v>Nov-2024</v>
      </c>
      <c r="Q596" s="14" t="n">
        <f aca="false">IFERROR(O596/N596,"")</f>
        <v>0.0837724877339633</v>
      </c>
      <c r="R596" s="8" t="str">
        <f aca="false">IF(OR(N596&gt;$U$3,N596&lt;$U$2),"Sales Outlier",IF(OR(O596&gt;$U$6,O596&lt;$U$4),"Profit Outlier",""))</f>
        <v/>
      </c>
    </row>
    <row r="597" customFormat="false" ht="15" hidden="false" customHeight="true" outlineLevel="0" collapsed="false">
      <c r="A597" s="8" t="s">
        <v>1134</v>
      </c>
      <c r="B597" s="11" t="n">
        <v>45609</v>
      </c>
      <c r="C597" s="11" t="n">
        <v>45616</v>
      </c>
      <c r="D597" s="8" t="s">
        <v>1136</v>
      </c>
      <c r="E597" s="8" t="s">
        <v>24</v>
      </c>
      <c r="F597" s="8" t="s">
        <v>61</v>
      </c>
      <c r="G597" s="8" t="s">
        <v>76</v>
      </c>
      <c r="H597" s="8" t="s">
        <v>114</v>
      </c>
      <c r="I597" s="8" t="s">
        <v>201</v>
      </c>
      <c r="J597" s="8" t="s">
        <v>39</v>
      </c>
      <c r="K597" s="8" t="n">
        <v>2</v>
      </c>
      <c r="L597" s="12" t="n">
        <v>423.65</v>
      </c>
      <c r="M597" s="13" t="n">
        <v>0.1</v>
      </c>
      <c r="N597" s="12" t="n">
        <v>762.57</v>
      </c>
      <c r="O597" s="12" t="n">
        <v>36.25</v>
      </c>
      <c r="P597" s="8" t="str">
        <f aca="false">TEXT(B597,"mmm-yyyy")</f>
        <v>Nov-2024</v>
      </c>
      <c r="Q597" s="14" t="n">
        <f aca="false">IFERROR(O597/N597,"")</f>
        <v>0.0475366195890213</v>
      </c>
      <c r="R597" s="8" t="str">
        <f aca="false">IF(OR(N597&gt;$U$3,N597&lt;$U$2),"Sales Outlier",IF(OR(O597&gt;$U$6,O597&lt;$U$4),"Profit Outlier",""))</f>
        <v/>
      </c>
    </row>
    <row r="598" customFormat="false" ht="15" hidden="false" customHeight="true" outlineLevel="0" collapsed="false">
      <c r="A598" s="8" t="s">
        <v>2234</v>
      </c>
      <c r="B598" s="11" t="n">
        <v>45611</v>
      </c>
      <c r="C598" s="11" t="n">
        <v>45613</v>
      </c>
      <c r="D598" s="8" t="s">
        <v>2295</v>
      </c>
      <c r="E598" s="8" t="s">
        <v>24</v>
      </c>
      <c r="F598" s="8" t="s">
        <v>154</v>
      </c>
      <c r="G598" s="8" t="s">
        <v>102</v>
      </c>
      <c r="H598" s="8" t="s">
        <v>77</v>
      </c>
      <c r="I598" s="8" t="s">
        <v>121</v>
      </c>
      <c r="J598" s="8" t="s">
        <v>29</v>
      </c>
      <c r="K598" s="8" t="n">
        <v>2</v>
      </c>
      <c r="L598" s="12" t="n">
        <v>1123.87</v>
      </c>
      <c r="M598" s="13" t="n">
        <v>0.05</v>
      </c>
      <c r="N598" s="12" t="n">
        <v>2135.35</v>
      </c>
      <c r="O598" s="12" t="n">
        <v>174.34</v>
      </c>
      <c r="P598" s="8" t="str">
        <f aca="false">TEXT(B598,"mmm-yyyy")</f>
        <v>Nov-2024</v>
      </c>
      <c r="Q598" s="14" t="n">
        <f aca="false">IFERROR(O598/N598,"")</f>
        <v>0.0816446952490224</v>
      </c>
      <c r="R598" s="8" t="str">
        <f aca="false">IF(OR(N598&gt;$U$3,N598&lt;$U$2),"Sales Outlier",IF(OR(O598&gt;$U$6,O598&lt;$U$4),"Profit Outlier",""))</f>
        <v/>
      </c>
    </row>
    <row r="599" customFormat="false" ht="15" hidden="false" customHeight="true" outlineLevel="0" collapsed="false">
      <c r="A599" s="8" t="s">
        <v>1838</v>
      </c>
      <c r="B599" s="11" t="n">
        <v>45611</v>
      </c>
      <c r="C599" s="11" t="n">
        <v>45614</v>
      </c>
      <c r="D599" s="8" t="s">
        <v>1839</v>
      </c>
      <c r="E599" s="8" t="s">
        <v>52</v>
      </c>
      <c r="F599" s="8" t="s">
        <v>126</v>
      </c>
      <c r="G599" s="8" t="s">
        <v>82</v>
      </c>
      <c r="H599" s="8" t="s">
        <v>132</v>
      </c>
      <c r="I599" s="8" t="s">
        <v>56</v>
      </c>
      <c r="J599" s="8" t="s">
        <v>47</v>
      </c>
      <c r="K599" s="8" t="n">
        <v>2</v>
      </c>
      <c r="L599" s="12" t="n">
        <v>720.51</v>
      </c>
      <c r="M599" s="13" t="n">
        <v>0.2</v>
      </c>
      <c r="N599" s="12" t="n">
        <v>1152.82</v>
      </c>
      <c r="O599" s="12" t="n">
        <v>372.5</v>
      </c>
      <c r="P599" s="8" t="str">
        <f aca="false">TEXT(B599,"mmm-yyyy")</f>
        <v>Nov-2024</v>
      </c>
      <c r="Q599" s="14" t="n">
        <f aca="false">IFERROR(O599/N599,"")</f>
        <v>0.323120695338388</v>
      </c>
      <c r="R599" s="8" t="str">
        <f aca="false">IF(OR(N599&gt;$U$3,N599&lt;$U$2),"Sales Outlier",IF(OR(O599&gt;$U$6,O599&lt;$U$4),"Profit Outlier",""))</f>
        <v/>
      </c>
    </row>
    <row r="600" customFormat="false" ht="15" hidden="false" customHeight="true" outlineLevel="0" collapsed="false">
      <c r="A600" s="8" t="s">
        <v>888</v>
      </c>
      <c r="B600" s="11" t="n">
        <v>45611</v>
      </c>
      <c r="C600" s="11" t="n">
        <v>45616</v>
      </c>
      <c r="D600" s="8" t="s">
        <v>890</v>
      </c>
      <c r="E600" s="8" t="s">
        <v>2285</v>
      </c>
      <c r="F600" s="8" t="s">
        <v>154</v>
      </c>
      <c r="G600" s="8" t="s">
        <v>102</v>
      </c>
      <c r="H600" s="8" t="s">
        <v>37</v>
      </c>
      <c r="I600" s="8" t="s">
        <v>527</v>
      </c>
      <c r="J600" s="8" t="s">
        <v>39</v>
      </c>
      <c r="K600" s="8" t="n">
        <v>3</v>
      </c>
      <c r="L600" s="12" t="n">
        <v>397.71</v>
      </c>
      <c r="M600" s="13" t="n">
        <v>0.15</v>
      </c>
      <c r="N600" s="12" t="n">
        <v>1014.16</v>
      </c>
      <c r="O600" s="12" t="n">
        <v>200.34</v>
      </c>
      <c r="P600" s="8" t="str">
        <f aca="false">TEXT(B600,"mmm-yyyy")</f>
        <v>Nov-2024</v>
      </c>
      <c r="Q600" s="14" t="n">
        <f aca="false">IFERROR(O600/N600,"")</f>
        <v>0.197542794036444</v>
      </c>
      <c r="R600" s="8" t="str">
        <f aca="false">IF(OR(N600&gt;$U$3,N600&lt;$U$2),"Sales Outlier",IF(OR(O600&gt;$U$6,O600&lt;$U$4),"Profit Outlier",""))</f>
        <v/>
      </c>
    </row>
    <row r="601" customFormat="false" ht="15" hidden="false" customHeight="true" outlineLevel="0" collapsed="false">
      <c r="A601" s="8" t="s">
        <v>1716</v>
      </c>
      <c r="B601" s="11" t="n">
        <v>45612</v>
      </c>
      <c r="C601" s="11" t="n">
        <v>45618</v>
      </c>
      <c r="D601" s="8" t="s">
        <v>1719</v>
      </c>
      <c r="E601" s="8" t="s">
        <v>2285</v>
      </c>
      <c r="F601" s="8" t="s">
        <v>126</v>
      </c>
      <c r="G601" s="8" t="s">
        <v>26</v>
      </c>
      <c r="H601" s="8" t="s">
        <v>45</v>
      </c>
      <c r="I601" s="8" t="s">
        <v>160</v>
      </c>
      <c r="J601" s="8" t="s">
        <v>29</v>
      </c>
      <c r="K601" s="8" t="n">
        <v>4</v>
      </c>
      <c r="L601" s="12" t="n">
        <v>1121.97</v>
      </c>
      <c r="M601" s="13" t="n">
        <v>0.05</v>
      </c>
      <c r="N601" s="12" t="n">
        <v>4263.49</v>
      </c>
      <c r="O601" s="12" t="n">
        <v>-733.22</v>
      </c>
      <c r="P601" s="8" t="str">
        <f aca="false">TEXT(B601,"mmm-yyyy")</f>
        <v>Nov-2024</v>
      </c>
      <c r="Q601" s="14" t="n">
        <f aca="false">IFERROR(O601/N601,"")</f>
        <v>-0.171976479363151</v>
      </c>
      <c r="R601" s="8" t="str">
        <f aca="false">IF(OR(N601&gt;$U$3,N601&lt;$U$2),"Sales Outlier",IF(OR(O601&gt;$U$6,O601&lt;$U$4),"Profit Outlier",""))</f>
        <v/>
      </c>
    </row>
    <row r="602" customFormat="false" ht="15" hidden="false" customHeight="true" outlineLevel="0" collapsed="false">
      <c r="A602" s="8" t="s">
        <v>1636</v>
      </c>
      <c r="B602" s="11" t="n">
        <v>45614</v>
      </c>
      <c r="C602" s="11" t="n">
        <v>45617</v>
      </c>
      <c r="D602" s="8" t="s">
        <v>1638</v>
      </c>
      <c r="E602" s="8" t="s">
        <v>24</v>
      </c>
      <c r="F602" s="8" t="s">
        <v>154</v>
      </c>
      <c r="G602" s="8" t="s">
        <v>119</v>
      </c>
      <c r="H602" s="8" t="s">
        <v>114</v>
      </c>
      <c r="I602" s="8" t="s">
        <v>109</v>
      </c>
      <c r="J602" s="8" t="s">
        <v>29</v>
      </c>
      <c r="K602" s="8" t="n">
        <v>3</v>
      </c>
      <c r="L602" s="12" t="n">
        <v>133.33</v>
      </c>
      <c r="M602" s="13" t="n">
        <v>0.05</v>
      </c>
      <c r="N602" s="12" t="n">
        <v>379.99</v>
      </c>
      <c r="O602" s="12" t="n">
        <v>106.88</v>
      </c>
      <c r="P602" s="8" t="str">
        <f aca="false">TEXT(B602,"mmm-yyyy")</f>
        <v>Nov-2024</v>
      </c>
      <c r="Q602" s="14" t="n">
        <f aca="false">IFERROR(O602/N602,"")</f>
        <v>0.281270559751572</v>
      </c>
      <c r="R602" s="8" t="str">
        <f aca="false">IF(OR(N602&gt;$U$3,N602&lt;$U$2),"Sales Outlier",IF(OR(O602&gt;$U$6,O602&lt;$U$4),"Profit Outlier",""))</f>
        <v/>
      </c>
    </row>
    <row r="603" customFormat="false" ht="15" hidden="false" customHeight="true" outlineLevel="0" collapsed="false">
      <c r="A603" s="8" t="s">
        <v>322</v>
      </c>
      <c r="B603" s="11" t="n">
        <v>45614</v>
      </c>
      <c r="C603" s="11" t="n">
        <v>45616</v>
      </c>
      <c r="D603" s="8" t="s">
        <v>325</v>
      </c>
      <c r="E603" s="8" t="s">
        <v>2285</v>
      </c>
      <c r="F603" s="8" t="s">
        <v>147</v>
      </c>
      <c r="G603" s="8" t="s">
        <v>326</v>
      </c>
      <c r="H603" s="8" t="s">
        <v>77</v>
      </c>
      <c r="I603" s="8" t="s">
        <v>71</v>
      </c>
      <c r="J603" s="8" t="s">
        <v>39</v>
      </c>
      <c r="K603" s="8" t="n">
        <v>3</v>
      </c>
      <c r="L603" s="12" t="n">
        <v>1140.49</v>
      </c>
      <c r="M603" s="13" t="n">
        <v>0.05</v>
      </c>
      <c r="N603" s="12" t="n">
        <v>3250.4</v>
      </c>
      <c r="O603" s="12" t="n">
        <v>150.18</v>
      </c>
      <c r="P603" s="8" t="str">
        <f aca="false">TEXT(B603,"mmm-yyyy")</f>
        <v>Nov-2024</v>
      </c>
      <c r="Q603" s="14" t="n">
        <f aca="false">IFERROR(O603/N603,"")</f>
        <v>0.046203544179178</v>
      </c>
      <c r="R603" s="8" t="str">
        <f aca="false">IF(OR(N603&gt;$U$3,N603&lt;$U$2),"Sales Outlier",IF(OR(O603&gt;$U$6,O603&lt;$U$4),"Profit Outlier",""))</f>
        <v/>
      </c>
    </row>
    <row r="604" customFormat="false" ht="15" hidden="false" customHeight="true" outlineLevel="0" collapsed="false">
      <c r="A604" s="8" t="s">
        <v>968</v>
      </c>
      <c r="B604" s="11" t="n">
        <v>45616</v>
      </c>
      <c r="C604" s="11" t="n">
        <v>45617</v>
      </c>
      <c r="D604" s="8" t="s">
        <v>753</v>
      </c>
      <c r="E604" s="8" t="s">
        <v>34</v>
      </c>
      <c r="F604" s="8" t="s">
        <v>126</v>
      </c>
      <c r="G604" s="8" t="s">
        <v>89</v>
      </c>
      <c r="H604" s="8" t="s">
        <v>77</v>
      </c>
      <c r="I604" s="8" t="s">
        <v>425</v>
      </c>
      <c r="J604" s="8" t="s">
        <v>64</v>
      </c>
      <c r="K604" s="8" t="n">
        <v>5</v>
      </c>
      <c r="L604" s="12" t="n">
        <v>383.1</v>
      </c>
      <c r="M604" s="13" t="n">
        <v>0.15</v>
      </c>
      <c r="N604" s="12" t="n">
        <v>1628.17</v>
      </c>
      <c r="O604" s="12" t="n">
        <v>458.68</v>
      </c>
      <c r="P604" s="8" t="str">
        <f aca="false">TEXT(B604,"mmm-yyyy")</f>
        <v>Nov-2024</v>
      </c>
      <c r="Q604" s="14" t="n">
        <f aca="false">IFERROR(O604/N604,"")</f>
        <v>0.281715054324794</v>
      </c>
      <c r="R604" s="8" t="str">
        <f aca="false">IF(OR(N604&gt;$U$3,N604&lt;$U$2),"Sales Outlier",IF(OR(O604&gt;$U$6,O604&lt;$U$4),"Profit Outlier",""))</f>
        <v/>
      </c>
    </row>
    <row r="605" customFormat="false" ht="15" hidden="false" customHeight="true" outlineLevel="0" collapsed="false">
      <c r="A605" s="8" t="s">
        <v>426</v>
      </c>
      <c r="B605" s="11" t="n">
        <v>45620</v>
      </c>
      <c r="C605" s="11" t="n">
        <v>45625</v>
      </c>
      <c r="D605" s="8" t="s">
        <v>429</v>
      </c>
      <c r="E605" s="8" t="s">
        <v>2285</v>
      </c>
      <c r="F605" s="8" t="s">
        <v>126</v>
      </c>
      <c r="G605" s="8" t="s">
        <v>89</v>
      </c>
      <c r="H605" s="8" t="s">
        <v>114</v>
      </c>
      <c r="I605" s="8" t="s">
        <v>297</v>
      </c>
      <c r="J605" s="8" t="s">
        <v>64</v>
      </c>
      <c r="K605" s="8" t="n">
        <v>2</v>
      </c>
      <c r="L605" s="12" t="n">
        <v>538.17</v>
      </c>
      <c r="M605" s="13" t="n">
        <v>0.1</v>
      </c>
      <c r="N605" s="12" t="n">
        <v>968.71</v>
      </c>
      <c r="O605" s="12" t="n">
        <v>87.71</v>
      </c>
      <c r="P605" s="8" t="str">
        <f aca="false">TEXT(B605,"mmm-yyyy")</f>
        <v>Nov-2024</v>
      </c>
      <c r="Q605" s="14" t="n">
        <f aca="false">IFERROR(O605/N605,"")</f>
        <v>0.0905430933922433</v>
      </c>
      <c r="R605" s="8" t="str">
        <f aca="false">IF(OR(N605&gt;$U$3,N605&lt;$U$2),"Sales Outlier",IF(OR(O605&gt;$U$6,O605&lt;$U$4),"Profit Outlier",""))</f>
        <v/>
      </c>
    </row>
    <row r="606" customFormat="false" ht="15" hidden="false" customHeight="true" outlineLevel="0" collapsed="false">
      <c r="A606" s="8" t="s">
        <v>873</v>
      </c>
      <c r="B606" s="11" t="n">
        <v>45620</v>
      </c>
      <c r="C606" s="11" t="n">
        <v>45624</v>
      </c>
      <c r="D606" s="8" t="s">
        <v>2311</v>
      </c>
      <c r="E606" s="8" t="s">
        <v>24</v>
      </c>
      <c r="F606" s="8" t="s">
        <v>154</v>
      </c>
      <c r="G606" s="8" t="s">
        <v>119</v>
      </c>
      <c r="H606" s="8" t="s">
        <v>37</v>
      </c>
      <c r="I606" s="8" t="s">
        <v>143</v>
      </c>
      <c r="J606" s="8" t="s">
        <v>47</v>
      </c>
      <c r="K606" s="8" t="n">
        <v>1</v>
      </c>
      <c r="L606" s="12" t="n">
        <v>1115.02</v>
      </c>
      <c r="M606" s="13" t="n">
        <v>0.2</v>
      </c>
      <c r="N606" s="12" t="n">
        <v>892.02</v>
      </c>
      <c r="O606" s="12" t="n">
        <v>190.66</v>
      </c>
      <c r="P606" s="8" t="str">
        <f aca="false">TEXT(B606,"mmm-yyyy")</f>
        <v>Nov-2024</v>
      </c>
      <c r="Q606" s="14" t="n">
        <f aca="false">IFERROR(O606/N606,"")</f>
        <v>0.213739602251071</v>
      </c>
      <c r="R606" s="8" t="str">
        <f aca="false">IF(OR(N606&gt;$U$3,N606&lt;$U$2),"Sales Outlier",IF(OR(O606&gt;$U$6,O606&lt;$U$4),"Profit Outlier",""))</f>
        <v/>
      </c>
    </row>
    <row r="607" customFormat="false" ht="15" hidden="false" customHeight="true" outlineLevel="0" collapsed="false">
      <c r="A607" s="8" t="s">
        <v>2197</v>
      </c>
      <c r="B607" s="11" t="n">
        <v>45621</v>
      </c>
      <c r="C607" s="11" t="n">
        <v>45334</v>
      </c>
      <c r="D607" s="8" t="s">
        <v>2200</v>
      </c>
      <c r="E607" s="8" t="s">
        <v>52</v>
      </c>
      <c r="F607" s="8" t="s">
        <v>61</v>
      </c>
      <c r="G607" s="8" t="s">
        <v>62</v>
      </c>
      <c r="H607" s="8" t="s">
        <v>45</v>
      </c>
      <c r="I607" s="8" t="s">
        <v>138</v>
      </c>
      <c r="J607" s="8" t="s">
        <v>47</v>
      </c>
      <c r="K607" s="8" t="n">
        <v>1</v>
      </c>
      <c r="L607" s="12" t="n">
        <v>175.62</v>
      </c>
      <c r="M607" s="13" t="n">
        <v>0.2</v>
      </c>
      <c r="N607" s="12" t="n">
        <v>140.5</v>
      </c>
      <c r="O607" s="12" t="n">
        <v>45.98</v>
      </c>
      <c r="P607" s="8" t="str">
        <f aca="false">TEXT(B607,"mmm-yyyy")</f>
        <v>Nov-2024</v>
      </c>
      <c r="Q607" s="14" t="n">
        <f aca="false">IFERROR(O607/N607,"")</f>
        <v>0.327259786476868</v>
      </c>
      <c r="R607" s="8" t="str">
        <f aca="false">IF(OR(N607&gt;$U$3,N607&lt;$U$2),"Sales Outlier",IF(OR(O607&gt;$U$6,O607&lt;$U$4),"Profit Outlier",""))</f>
        <v/>
      </c>
    </row>
    <row r="608" customFormat="false" ht="15" hidden="false" customHeight="true" outlineLevel="0" collapsed="false">
      <c r="A608" s="8" t="s">
        <v>1007</v>
      </c>
      <c r="B608" s="11" t="n">
        <v>45621</v>
      </c>
      <c r="C608" s="11" t="n">
        <v>45624</v>
      </c>
      <c r="D608" s="8" t="s">
        <v>2312</v>
      </c>
      <c r="E608" s="8" t="s">
        <v>24</v>
      </c>
      <c r="F608" s="8" t="s">
        <v>61</v>
      </c>
      <c r="G608" s="8" t="s">
        <v>62</v>
      </c>
      <c r="H608" s="8" t="s">
        <v>114</v>
      </c>
      <c r="I608" s="8" t="s">
        <v>115</v>
      </c>
      <c r="J608" s="8" t="s">
        <v>47</v>
      </c>
      <c r="K608" s="8" t="n">
        <v>1</v>
      </c>
      <c r="L608" s="12" t="n">
        <v>727.52</v>
      </c>
      <c r="M608" s="13" t="n">
        <v>0.05</v>
      </c>
      <c r="N608" s="12" t="n">
        <v>691.14</v>
      </c>
      <c r="O608" s="12" t="n">
        <v>13.94</v>
      </c>
      <c r="P608" s="8" t="str">
        <f aca="false">TEXT(B608,"mmm-yyyy")</f>
        <v>Nov-2024</v>
      </c>
      <c r="Q608" s="14" t="n">
        <f aca="false">IFERROR(O608/N608,"")</f>
        <v>0.020169574905229</v>
      </c>
      <c r="R608" s="8" t="str">
        <f aca="false">IF(OR(N608&gt;$U$3,N608&lt;$U$2),"Sales Outlier",IF(OR(O608&gt;$U$6,O608&lt;$U$4),"Profit Outlier",""))</f>
        <v/>
      </c>
    </row>
    <row r="609" customFormat="false" ht="15" hidden="false" customHeight="true" outlineLevel="0" collapsed="false">
      <c r="A609" s="8" t="s">
        <v>2170</v>
      </c>
      <c r="B609" s="11" t="n">
        <v>45621</v>
      </c>
      <c r="C609" s="11" t="n">
        <v>45627</v>
      </c>
      <c r="D609" s="8" t="s">
        <v>883</v>
      </c>
      <c r="E609" s="8" t="s">
        <v>2285</v>
      </c>
      <c r="F609" s="8" t="s">
        <v>154</v>
      </c>
      <c r="G609" s="8" t="s">
        <v>119</v>
      </c>
      <c r="H609" s="8" t="s">
        <v>45</v>
      </c>
      <c r="I609" s="8" t="s">
        <v>160</v>
      </c>
      <c r="J609" s="8" t="s">
        <v>64</v>
      </c>
      <c r="K609" s="8" t="n">
        <v>1</v>
      </c>
      <c r="L609" s="12" t="n">
        <v>1076.88</v>
      </c>
      <c r="M609" s="13" t="n">
        <v>0</v>
      </c>
      <c r="N609" s="12" t="n">
        <v>1076.88</v>
      </c>
      <c r="O609" s="12" t="n">
        <v>347.07</v>
      </c>
      <c r="P609" s="8" t="str">
        <f aca="false">TEXT(B609,"mmm-yyyy")</f>
        <v>Nov-2024</v>
      </c>
      <c r="Q609" s="14" t="n">
        <f aca="false">IFERROR(O609/N609,"")</f>
        <v>0.322292177401382</v>
      </c>
      <c r="R609" s="8" t="str">
        <f aca="false">IF(OR(N609&gt;$U$3,N609&lt;$U$2),"Sales Outlier",IF(OR(O609&gt;$U$6,O609&lt;$U$4),"Profit Outlier",""))</f>
        <v/>
      </c>
    </row>
    <row r="610" customFormat="false" ht="15" hidden="false" customHeight="true" outlineLevel="0" collapsed="false">
      <c r="A610" s="8" t="s">
        <v>1445</v>
      </c>
      <c r="B610" s="11" t="n">
        <v>45622</v>
      </c>
      <c r="C610" s="11" t="n">
        <v>45629</v>
      </c>
      <c r="D610" s="8" t="s">
        <v>1448</v>
      </c>
      <c r="E610" s="8" t="s">
        <v>52</v>
      </c>
      <c r="F610" s="8" t="s">
        <v>61</v>
      </c>
      <c r="G610" s="8" t="s">
        <v>76</v>
      </c>
      <c r="H610" s="8" t="s">
        <v>132</v>
      </c>
      <c r="I610" s="8" t="s">
        <v>220</v>
      </c>
      <c r="J610" s="8" t="s">
        <v>47</v>
      </c>
      <c r="K610" s="8" t="n">
        <v>4</v>
      </c>
      <c r="L610" s="12" t="n">
        <v>771.57</v>
      </c>
      <c r="M610" s="13" t="n">
        <v>0.15</v>
      </c>
      <c r="N610" s="12" t="n">
        <v>2623.34</v>
      </c>
      <c r="O610" s="12" t="n">
        <v>-134.36</v>
      </c>
      <c r="P610" s="8" t="str">
        <f aca="false">TEXT(B610,"mmm-yyyy")</f>
        <v>Nov-2024</v>
      </c>
      <c r="Q610" s="14" t="n">
        <f aca="false">IFERROR(O610/N610,"")</f>
        <v>-0.0512171506552715</v>
      </c>
      <c r="R610" s="8" t="str">
        <f aca="false">IF(OR(N610&gt;$U$3,N610&lt;$U$2),"Sales Outlier",IF(OR(O610&gt;$U$6,O610&lt;$U$4),"Profit Outlier",""))</f>
        <v/>
      </c>
    </row>
    <row r="611" customFormat="false" ht="15" hidden="false" customHeight="true" outlineLevel="0" collapsed="false">
      <c r="A611" s="8" t="s">
        <v>798</v>
      </c>
      <c r="B611" s="11" t="n">
        <v>45622</v>
      </c>
      <c r="C611" s="11" t="n">
        <v>45625</v>
      </c>
      <c r="D611" s="8" t="s">
        <v>68</v>
      </c>
      <c r="E611" s="8" t="s">
        <v>34</v>
      </c>
      <c r="F611" s="8" t="s">
        <v>126</v>
      </c>
      <c r="G611" s="8" t="s">
        <v>89</v>
      </c>
      <c r="H611" s="8" t="s">
        <v>114</v>
      </c>
      <c r="I611" s="8" t="s">
        <v>109</v>
      </c>
      <c r="J611" s="8" t="s">
        <v>47</v>
      </c>
      <c r="K611" s="8" t="n">
        <v>4</v>
      </c>
      <c r="L611" s="12" t="n">
        <v>363.18</v>
      </c>
      <c r="M611" s="13" t="n">
        <v>0</v>
      </c>
      <c r="N611" s="12" t="n">
        <v>1452.72</v>
      </c>
      <c r="O611" s="12" t="n">
        <v>-139.96</v>
      </c>
      <c r="P611" s="8" t="str">
        <f aca="false">TEXT(B611,"mmm-yyyy")</f>
        <v>Nov-2024</v>
      </c>
      <c r="Q611" s="14" t="n">
        <f aca="false">IFERROR(O611/N611,"")</f>
        <v>-0.0963434109807809</v>
      </c>
      <c r="R611" s="8" t="str">
        <f aca="false">IF(OR(N611&gt;$U$3,N611&lt;$U$2),"Sales Outlier",IF(OR(O611&gt;$U$6,O611&lt;$U$4),"Profit Outlier",""))</f>
        <v/>
      </c>
    </row>
    <row r="612" customFormat="false" ht="15" hidden="false" customHeight="true" outlineLevel="0" collapsed="false">
      <c r="A612" s="8" t="s">
        <v>1132</v>
      </c>
      <c r="B612" s="11" t="n">
        <v>45623</v>
      </c>
      <c r="C612" s="11" t="n">
        <v>45627</v>
      </c>
      <c r="D612" s="8" t="s">
        <v>986</v>
      </c>
      <c r="E612" s="8" t="s">
        <v>52</v>
      </c>
      <c r="F612" s="8" t="s">
        <v>147</v>
      </c>
      <c r="G612" s="8" t="s">
        <v>326</v>
      </c>
      <c r="H612" s="8" t="s">
        <v>132</v>
      </c>
      <c r="I612" s="8" t="s">
        <v>133</v>
      </c>
      <c r="J612" s="8" t="s">
        <v>47</v>
      </c>
      <c r="K612" s="8" t="n">
        <v>2</v>
      </c>
      <c r="L612" s="12" t="n">
        <v>754.8</v>
      </c>
      <c r="M612" s="13" t="n">
        <v>0</v>
      </c>
      <c r="N612" s="12" t="n">
        <v>1509.6</v>
      </c>
      <c r="O612" s="12" t="n">
        <v>433.78</v>
      </c>
      <c r="P612" s="8" t="str">
        <f aca="false">TEXT(B612,"mmm-yyyy")</f>
        <v>Nov-2024</v>
      </c>
      <c r="Q612" s="14" t="n">
        <f aca="false">IFERROR(O612/N612,"")</f>
        <v>0.287347641759406</v>
      </c>
      <c r="R612" s="8" t="str">
        <f aca="false">IF(OR(N612&gt;$U$3,N612&lt;$U$2),"Sales Outlier",IF(OR(O612&gt;$U$6,O612&lt;$U$4),"Profit Outlier",""))</f>
        <v/>
      </c>
    </row>
    <row r="613" customFormat="false" ht="15" hidden="false" customHeight="true" outlineLevel="0" collapsed="false">
      <c r="A613" s="8" t="s">
        <v>453</v>
      </c>
      <c r="B613" s="11" t="n">
        <v>45623</v>
      </c>
      <c r="C613" s="11" t="n">
        <v>45627</v>
      </c>
      <c r="D613" s="8" t="s">
        <v>456</v>
      </c>
      <c r="E613" s="8" t="s">
        <v>34</v>
      </c>
      <c r="F613" s="8" t="s">
        <v>154</v>
      </c>
      <c r="G613" s="8" t="s">
        <v>119</v>
      </c>
      <c r="H613" s="8" t="s">
        <v>132</v>
      </c>
      <c r="I613" s="8" t="s">
        <v>133</v>
      </c>
      <c r="J613" s="8" t="s">
        <v>29</v>
      </c>
      <c r="K613" s="8" t="n">
        <v>2</v>
      </c>
      <c r="L613" s="12" t="n">
        <v>331.6</v>
      </c>
      <c r="M613" s="13" t="n">
        <v>0.1</v>
      </c>
      <c r="N613" s="12" t="n">
        <v>298.44</v>
      </c>
      <c r="O613" s="12" t="n">
        <v>69.43</v>
      </c>
      <c r="P613" s="8" t="str">
        <f aca="false">TEXT(B613,"mmm-yyyy")</f>
        <v>Nov-2024</v>
      </c>
      <c r="Q613" s="14" t="n">
        <f aca="false">IFERROR(O613/N613,"")</f>
        <v>0.232643077335478</v>
      </c>
      <c r="R613" s="8" t="str">
        <f aca="false">IF(OR(N613&gt;$U$3,N613&lt;$U$2),"Sales Outlier",IF(OR(O613&gt;$U$6,O613&lt;$U$4),"Profit Outlier",""))</f>
        <v/>
      </c>
    </row>
    <row r="614" customFormat="false" ht="15" hidden="false" customHeight="true" outlineLevel="0" collapsed="false">
      <c r="A614" s="8" t="s">
        <v>694</v>
      </c>
      <c r="B614" s="11" t="n">
        <v>45623</v>
      </c>
      <c r="C614" s="11" t="n">
        <v>45627</v>
      </c>
      <c r="D614" s="8" t="s">
        <v>2282</v>
      </c>
      <c r="E614" s="8" t="s">
        <v>52</v>
      </c>
      <c r="F614" s="8" t="s">
        <v>154</v>
      </c>
      <c r="G614" s="8" t="s">
        <v>119</v>
      </c>
      <c r="H614" s="8" t="s">
        <v>77</v>
      </c>
      <c r="I614" s="8" t="s">
        <v>71</v>
      </c>
      <c r="J614" s="8" t="s">
        <v>29</v>
      </c>
      <c r="K614" s="8" t="n">
        <v>2</v>
      </c>
      <c r="L614" s="12" t="n">
        <v>714.45</v>
      </c>
      <c r="M614" s="13" t="n">
        <v>0.2</v>
      </c>
      <c r="N614" s="12" t="n">
        <v>1143.12</v>
      </c>
      <c r="O614" s="12" t="n">
        <v>394</v>
      </c>
      <c r="P614" s="8" t="str">
        <f aca="false">TEXT(B614,"mmm-yyyy")</f>
        <v>Nov-2024</v>
      </c>
      <c r="Q614" s="14" t="n">
        <f aca="false">IFERROR(O614/N614,"")</f>
        <v>0.344670725733081</v>
      </c>
      <c r="R614" s="8" t="str">
        <f aca="false">IF(OR(N614&gt;$U$3,N614&lt;$U$2),"Sales Outlier",IF(OR(O614&gt;$U$6,O614&lt;$U$4),"Profit Outlier",""))</f>
        <v/>
      </c>
    </row>
    <row r="615" customFormat="false" ht="15" hidden="false" customHeight="true" outlineLevel="0" collapsed="false">
      <c r="A615" s="8" t="s">
        <v>1682</v>
      </c>
      <c r="B615" s="11" t="n">
        <v>45627</v>
      </c>
      <c r="C615" s="11" t="n">
        <v>45628</v>
      </c>
      <c r="D615" s="8" t="s">
        <v>1683</v>
      </c>
      <c r="E615" s="8" t="s">
        <v>24</v>
      </c>
      <c r="F615" s="8" t="s">
        <v>61</v>
      </c>
      <c r="G615" s="8" t="s">
        <v>76</v>
      </c>
      <c r="H615" s="8" t="s">
        <v>45</v>
      </c>
      <c r="I615" s="8" t="s">
        <v>138</v>
      </c>
      <c r="J615" s="8" t="s">
        <v>39</v>
      </c>
      <c r="K615" s="8" t="n">
        <v>2</v>
      </c>
      <c r="L615" s="12" t="n">
        <v>685.32</v>
      </c>
      <c r="M615" s="13" t="n">
        <v>0.15</v>
      </c>
      <c r="N615" s="12" t="n">
        <v>1165.04</v>
      </c>
      <c r="O615" s="12" t="n">
        <v>123.49</v>
      </c>
      <c r="P615" s="8" t="str">
        <f aca="false">TEXT(B615,"mmm-yyyy")</f>
        <v>Dec-2024</v>
      </c>
      <c r="Q615" s="14" t="n">
        <f aca="false">IFERROR(O615/N615,"")</f>
        <v>0.105996360639978</v>
      </c>
      <c r="R615" s="8" t="str">
        <f aca="false">IF(OR(N615&gt;$U$3,N615&lt;$U$2),"Sales Outlier",IF(OR(O615&gt;$U$6,O615&lt;$U$4),"Profit Outlier",""))</f>
        <v/>
      </c>
    </row>
    <row r="616" customFormat="false" ht="15" hidden="false" customHeight="true" outlineLevel="0" collapsed="false">
      <c r="A616" s="8" t="s">
        <v>2059</v>
      </c>
      <c r="B616" s="11" t="n">
        <v>45627</v>
      </c>
      <c r="C616" s="11" t="n">
        <v>45631</v>
      </c>
      <c r="D616" s="8" t="s">
        <v>2060</v>
      </c>
      <c r="E616" s="8" t="s">
        <v>24</v>
      </c>
      <c r="F616" s="8" t="s">
        <v>126</v>
      </c>
      <c r="G616" s="8" t="s">
        <v>82</v>
      </c>
      <c r="H616" s="8" t="s">
        <v>77</v>
      </c>
      <c r="I616" s="8" t="s">
        <v>121</v>
      </c>
      <c r="J616" s="8" t="s">
        <v>64</v>
      </c>
      <c r="K616" s="8" t="n">
        <v>4</v>
      </c>
      <c r="L616" s="12" t="n">
        <v>788.16</v>
      </c>
      <c r="M616" s="13" t="n">
        <v>0.05</v>
      </c>
      <c r="N616" s="12" t="n">
        <v>2995.01</v>
      </c>
      <c r="O616" s="12" t="n">
        <v>989.58</v>
      </c>
      <c r="P616" s="8" t="str">
        <f aca="false">TEXT(B616,"mmm-yyyy")</f>
        <v>Dec-2024</v>
      </c>
      <c r="Q616" s="14" t="n">
        <f aca="false">IFERROR(O616/N616,"")</f>
        <v>0.330409581270179</v>
      </c>
      <c r="R616" s="8" t="str">
        <f aca="false">IF(OR(N616&gt;$U$3,N616&lt;$U$2),"Sales Outlier",IF(OR(O616&gt;$U$6,O616&lt;$U$4),"Profit Outlier",""))</f>
        <v/>
      </c>
    </row>
    <row r="617" customFormat="false" ht="15" hidden="false" customHeight="true" outlineLevel="0" collapsed="false">
      <c r="A617" s="8" t="s">
        <v>727</v>
      </c>
      <c r="B617" s="11" t="n">
        <v>45627</v>
      </c>
      <c r="C617" s="11" t="n">
        <v>45630</v>
      </c>
      <c r="D617" s="8" t="s">
        <v>1651</v>
      </c>
      <c r="E617" s="8" t="s">
        <v>34</v>
      </c>
      <c r="F617" s="8" t="s">
        <v>126</v>
      </c>
      <c r="G617" s="8" t="s">
        <v>82</v>
      </c>
      <c r="H617" s="8" t="s">
        <v>132</v>
      </c>
      <c r="I617" s="8" t="s">
        <v>104</v>
      </c>
      <c r="J617" s="8" t="s">
        <v>39</v>
      </c>
      <c r="K617" s="8" t="n">
        <v>3</v>
      </c>
      <c r="L617" s="12" t="n">
        <v>182.58</v>
      </c>
      <c r="M617" s="13" t="n">
        <v>0.05</v>
      </c>
      <c r="N617" s="12" t="n">
        <v>520.35</v>
      </c>
      <c r="O617" s="12" t="n">
        <v>68.18</v>
      </c>
      <c r="P617" s="8" t="str">
        <f aca="false">TEXT(B617,"mmm-yyyy")</f>
        <v>Dec-2024</v>
      </c>
      <c r="Q617" s="14" t="n">
        <f aca="false">IFERROR(O617/N617,"")</f>
        <v>0.131027193235322</v>
      </c>
      <c r="R617" s="8" t="str">
        <f aca="false">IF(OR(N617&gt;$U$3,N617&lt;$U$2),"Sales Outlier",IF(OR(O617&gt;$U$6,O617&lt;$U$4),"Profit Outlier",""))</f>
        <v/>
      </c>
    </row>
    <row r="618" customFormat="false" ht="15" hidden="false" customHeight="true" outlineLevel="0" collapsed="false">
      <c r="A618" s="8" t="s">
        <v>826</v>
      </c>
      <c r="B618" s="11" t="n">
        <v>45628</v>
      </c>
      <c r="C618" s="11" t="n">
        <v>45336</v>
      </c>
      <c r="D618" s="8" t="s">
        <v>883</v>
      </c>
      <c r="E618" s="8" t="s">
        <v>52</v>
      </c>
      <c r="F618" s="8" t="s">
        <v>126</v>
      </c>
      <c r="G618" s="8" t="s">
        <v>26</v>
      </c>
      <c r="H618" s="8" t="s">
        <v>37</v>
      </c>
      <c r="I618" s="8" t="s">
        <v>84</v>
      </c>
      <c r="J618" s="8" t="s">
        <v>64</v>
      </c>
      <c r="K618" s="8" t="n">
        <v>1</v>
      </c>
      <c r="L618" s="12" t="n">
        <v>1090.59</v>
      </c>
      <c r="M618" s="13" t="n">
        <v>0.1</v>
      </c>
      <c r="N618" s="12" t="n">
        <v>981.53</v>
      </c>
      <c r="O618" s="12" t="n">
        <v>37.92</v>
      </c>
      <c r="P618" s="8" t="str">
        <f aca="false">TEXT(B618,"mmm-yyyy")</f>
        <v>Dec-2024</v>
      </c>
      <c r="Q618" s="14" t="n">
        <f aca="false">IFERROR(O618/N618,"")</f>
        <v>0.0386335618880727</v>
      </c>
      <c r="R618" s="8" t="str">
        <f aca="false">IF(OR(N618&gt;$U$3,N618&lt;$U$2),"Sales Outlier",IF(OR(O618&gt;$U$6,O618&lt;$U$4),"Profit Outlier",""))</f>
        <v/>
      </c>
    </row>
    <row r="619" customFormat="false" ht="15" hidden="false" customHeight="true" outlineLevel="0" collapsed="false">
      <c r="A619" s="8" t="s">
        <v>1594</v>
      </c>
      <c r="B619" s="11" t="n">
        <v>45628</v>
      </c>
      <c r="C619" s="11" t="n">
        <v>45340</v>
      </c>
      <c r="D619" s="8" t="s">
        <v>600</v>
      </c>
      <c r="E619" s="8" t="s">
        <v>2285</v>
      </c>
      <c r="F619" s="8" t="s">
        <v>154</v>
      </c>
      <c r="G619" s="8" t="s">
        <v>119</v>
      </c>
      <c r="H619" s="8" t="s">
        <v>132</v>
      </c>
      <c r="I619" s="8" t="s">
        <v>133</v>
      </c>
      <c r="J619" s="8" t="s">
        <v>39</v>
      </c>
      <c r="K619" s="8" t="n">
        <v>1</v>
      </c>
      <c r="L619" s="12" t="n">
        <v>775.05</v>
      </c>
      <c r="M619" s="13" t="n">
        <v>0.15</v>
      </c>
      <c r="N619" s="12" t="n">
        <v>658.79</v>
      </c>
      <c r="O619" s="12" t="n">
        <v>180.1</v>
      </c>
      <c r="P619" s="8" t="str">
        <f aca="false">TEXT(B619,"mmm-yyyy")</f>
        <v>Dec-2024</v>
      </c>
      <c r="Q619" s="14" t="n">
        <f aca="false">IFERROR(O619/N619,"")</f>
        <v>0.273379984517069</v>
      </c>
      <c r="R619" s="8" t="str">
        <f aca="false">IF(OR(N619&gt;$U$3,N619&lt;$U$2),"Sales Outlier",IF(OR(O619&gt;$U$6,O619&lt;$U$4),"Profit Outlier",""))</f>
        <v/>
      </c>
    </row>
    <row r="620" customFormat="false" ht="15" hidden="false" customHeight="true" outlineLevel="0" collapsed="false">
      <c r="A620" s="8" t="s">
        <v>1466</v>
      </c>
      <c r="B620" s="11" t="n">
        <v>45628</v>
      </c>
      <c r="C620" s="11" t="n">
        <v>45635</v>
      </c>
      <c r="D620" s="8" t="s">
        <v>1469</v>
      </c>
      <c r="E620" s="8" t="s">
        <v>34</v>
      </c>
      <c r="F620" s="8" t="s">
        <v>126</v>
      </c>
      <c r="G620" s="8" t="s">
        <v>82</v>
      </c>
      <c r="H620" s="8" t="s">
        <v>114</v>
      </c>
      <c r="I620" s="8" t="s">
        <v>115</v>
      </c>
      <c r="J620" s="8" t="s">
        <v>64</v>
      </c>
      <c r="K620" s="8" t="n">
        <v>5</v>
      </c>
      <c r="L620" s="12" t="n">
        <v>88.18</v>
      </c>
      <c r="M620" s="13" t="n">
        <v>0</v>
      </c>
      <c r="N620" s="12" t="n">
        <v>440.9</v>
      </c>
      <c r="O620" s="12" t="n">
        <v>-0.91</v>
      </c>
      <c r="P620" s="8" t="str">
        <f aca="false">TEXT(B620,"mmm-yyyy")</f>
        <v>Dec-2024</v>
      </c>
      <c r="Q620" s="14" t="n">
        <f aca="false">IFERROR(O620/N620,"")</f>
        <v>-0.00206396008165117</v>
      </c>
      <c r="R620" s="8" t="str">
        <f aca="false">IF(OR(N620&gt;$U$3,N620&lt;$U$2),"Sales Outlier",IF(OR(O620&gt;$U$6,O620&lt;$U$4),"Profit Outlier",""))</f>
        <v/>
      </c>
    </row>
    <row r="621" customFormat="false" ht="15" hidden="false" customHeight="true" outlineLevel="0" collapsed="false">
      <c r="A621" s="8" t="s">
        <v>1454</v>
      </c>
      <c r="B621" s="11" t="n">
        <v>45628</v>
      </c>
      <c r="C621" s="11"/>
      <c r="D621" s="8" t="s">
        <v>1455</v>
      </c>
      <c r="E621" s="8" t="s">
        <v>2285</v>
      </c>
      <c r="F621" s="8" t="s">
        <v>61</v>
      </c>
      <c r="G621" s="8" t="s">
        <v>76</v>
      </c>
      <c r="H621" s="8" t="s">
        <v>37</v>
      </c>
      <c r="I621" s="8" t="s">
        <v>84</v>
      </c>
      <c r="J621" s="8" t="s">
        <v>29</v>
      </c>
      <c r="K621" s="8" t="n">
        <v>1</v>
      </c>
      <c r="L621" s="12" t="n">
        <v>734.63</v>
      </c>
      <c r="M621" s="13" t="n">
        <v>0</v>
      </c>
      <c r="N621" s="12" t="n">
        <v>734.63</v>
      </c>
      <c r="O621" s="12" t="n">
        <v>38.8</v>
      </c>
      <c r="P621" s="8" t="str">
        <f aca="false">TEXT(B621,"mmm-yyyy")</f>
        <v>Dec-2024</v>
      </c>
      <c r="Q621" s="14" t="n">
        <f aca="false">IFERROR(O621/N621,"")</f>
        <v>0.0528157031430788</v>
      </c>
      <c r="R621" s="8" t="str">
        <f aca="false">IF(OR(N621&gt;$U$3,N621&lt;$U$2),"Sales Outlier",IF(OR(O621&gt;$U$6,O621&lt;$U$4),"Profit Outlier",""))</f>
        <v/>
      </c>
    </row>
    <row r="622" customFormat="false" ht="15" hidden="false" customHeight="true" outlineLevel="0" collapsed="false">
      <c r="A622" s="8" t="s">
        <v>1774</v>
      </c>
      <c r="B622" s="11" t="n">
        <v>45629</v>
      </c>
      <c r="C622" s="11" t="n">
        <v>45632</v>
      </c>
      <c r="D622" s="8" t="s">
        <v>2313</v>
      </c>
      <c r="E622" s="8" t="s">
        <v>52</v>
      </c>
      <c r="F622" s="8" t="s">
        <v>61</v>
      </c>
      <c r="G622" s="8" t="s">
        <v>76</v>
      </c>
      <c r="H622" s="8" t="s">
        <v>77</v>
      </c>
      <c r="I622" s="8" t="s">
        <v>127</v>
      </c>
      <c r="J622" s="8" t="s">
        <v>64</v>
      </c>
      <c r="K622" s="8" t="n">
        <v>1</v>
      </c>
      <c r="L622" s="12" t="n">
        <v>113.05</v>
      </c>
      <c r="M622" s="13" t="n">
        <v>0</v>
      </c>
      <c r="N622" s="12" t="n">
        <v>113.05</v>
      </c>
      <c r="O622" s="12" t="n">
        <v>-6.66</v>
      </c>
      <c r="P622" s="8" t="str">
        <f aca="false">TEXT(B622,"mmm-yyyy")</f>
        <v>Dec-2024</v>
      </c>
      <c r="Q622" s="14" t="n">
        <f aca="false">IFERROR(O622/N622,"")</f>
        <v>-0.0589119858469704</v>
      </c>
      <c r="R622" s="8" t="str">
        <f aca="false">IF(OR(N622&gt;$U$3,N622&lt;$U$2),"Sales Outlier",IF(OR(O622&gt;$U$6,O622&lt;$U$4),"Profit Outlier",""))</f>
        <v/>
      </c>
    </row>
    <row r="623" customFormat="false" ht="15" hidden="false" customHeight="true" outlineLevel="0" collapsed="false">
      <c r="A623" s="8" t="s">
        <v>861</v>
      </c>
      <c r="B623" s="11" t="n">
        <v>45630</v>
      </c>
      <c r="C623" s="11" t="n">
        <v>45633</v>
      </c>
      <c r="D623" s="8" t="s">
        <v>864</v>
      </c>
      <c r="E623" s="8" t="s">
        <v>2285</v>
      </c>
      <c r="F623" s="8" t="s">
        <v>61</v>
      </c>
      <c r="G623" s="8" t="s">
        <v>36</v>
      </c>
      <c r="H623" s="8" t="s">
        <v>45</v>
      </c>
      <c r="I623" s="8" t="s">
        <v>138</v>
      </c>
      <c r="J623" s="8" t="s">
        <v>29</v>
      </c>
      <c r="K623" s="8" t="n">
        <v>5</v>
      </c>
      <c r="L623" s="12" t="n">
        <v>184.51</v>
      </c>
      <c r="M623" s="13" t="n">
        <v>0</v>
      </c>
      <c r="N623" s="12" t="n">
        <v>922.55</v>
      </c>
      <c r="O623" s="12" t="n">
        <v>60.98</v>
      </c>
      <c r="P623" s="8" t="str">
        <f aca="false">TEXT(B623,"mmm-yyyy")</f>
        <v>Dec-2024</v>
      </c>
      <c r="Q623" s="14" t="n">
        <f aca="false">IFERROR(O623/N623,"")</f>
        <v>0.0660993984065904</v>
      </c>
      <c r="R623" s="8" t="str">
        <f aca="false">IF(OR(N623&gt;$U$3,N623&lt;$U$2),"Sales Outlier",IF(OR(O623&gt;$U$6,O623&lt;$U$4),"Profit Outlier",""))</f>
        <v/>
      </c>
    </row>
    <row r="624" customFormat="false" ht="15" hidden="false" customHeight="true" outlineLevel="0" collapsed="false">
      <c r="A624" s="8" t="s">
        <v>1797</v>
      </c>
      <c r="B624" s="11" t="n">
        <v>45630</v>
      </c>
      <c r="C624" s="11" t="n">
        <v>45399</v>
      </c>
      <c r="D624" s="8" t="s">
        <v>633</v>
      </c>
      <c r="E624" s="8" t="s">
        <v>2285</v>
      </c>
      <c r="F624" s="8" t="s">
        <v>147</v>
      </c>
      <c r="G624" s="8" t="s">
        <v>326</v>
      </c>
      <c r="H624" s="8" t="s">
        <v>114</v>
      </c>
      <c r="I624" s="8" t="s">
        <v>96</v>
      </c>
      <c r="J624" s="8" t="s">
        <v>29</v>
      </c>
      <c r="K624" s="8" t="n">
        <v>3</v>
      </c>
      <c r="L624" s="12" t="n">
        <v>985.78</v>
      </c>
      <c r="M624" s="13" t="n">
        <v>0</v>
      </c>
      <c r="N624" s="12" t="n">
        <v>2957.34</v>
      </c>
      <c r="O624" s="12" t="n">
        <v>767.81</v>
      </c>
      <c r="P624" s="8" t="str">
        <f aca="false">TEXT(B624,"mmm-yyyy")</f>
        <v>Dec-2024</v>
      </c>
      <c r="Q624" s="14" t="n">
        <f aca="false">IFERROR(O624/N624,"")</f>
        <v>0.259628585147464</v>
      </c>
      <c r="R624" s="8" t="str">
        <f aca="false">IF(OR(N624&gt;$U$3,N624&lt;$U$2),"Sales Outlier",IF(OR(O624&gt;$U$6,O624&lt;$U$4),"Profit Outlier",""))</f>
        <v/>
      </c>
    </row>
    <row r="625" customFormat="false" ht="15" hidden="false" customHeight="true" outlineLevel="0" collapsed="false">
      <c r="A625" s="8" t="s">
        <v>1730</v>
      </c>
      <c r="B625" s="11" t="n">
        <v>45630</v>
      </c>
      <c r="C625" s="11" t="n">
        <v>45637</v>
      </c>
      <c r="D625" s="8" t="s">
        <v>1719</v>
      </c>
      <c r="E625" s="8" t="s">
        <v>52</v>
      </c>
      <c r="F625" s="8" t="s">
        <v>126</v>
      </c>
      <c r="G625" s="8" t="s">
        <v>82</v>
      </c>
      <c r="H625" s="8" t="s">
        <v>45</v>
      </c>
      <c r="I625" s="8" t="s">
        <v>46</v>
      </c>
      <c r="J625" s="8" t="s">
        <v>64</v>
      </c>
      <c r="K625" s="8" t="n">
        <v>2</v>
      </c>
      <c r="L625" s="12" t="n">
        <v>303.86</v>
      </c>
      <c r="M625" s="13" t="n">
        <v>0.05</v>
      </c>
      <c r="N625" s="12" t="n">
        <v>577.33</v>
      </c>
      <c r="O625" s="12" t="n">
        <v>148.57</v>
      </c>
      <c r="P625" s="8" t="str">
        <f aca="false">TEXT(B625,"mmm-yyyy")</f>
        <v>Dec-2024</v>
      </c>
      <c r="Q625" s="14" t="n">
        <f aca="false">IFERROR(O625/N625,"")</f>
        <v>0.257339822978193</v>
      </c>
      <c r="R625" s="8" t="str">
        <f aca="false">IF(OR(N625&gt;$U$3,N625&lt;$U$2),"Sales Outlier",IF(OR(O625&gt;$U$6,O625&lt;$U$4),"Profit Outlier",""))</f>
        <v/>
      </c>
    </row>
    <row r="626" customFormat="false" ht="15" hidden="false" customHeight="true" outlineLevel="0" collapsed="false">
      <c r="A626" s="8" t="s">
        <v>2239</v>
      </c>
      <c r="B626" s="11" t="n">
        <v>45631</v>
      </c>
      <c r="C626" s="11" t="n">
        <v>45428</v>
      </c>
      <c r="D626" s="8" t="s">
        <v>1087</v>
      </c>
      <c r="E626" s="8" t="s">
        <v>52</v>
      </c>
      <c r="F626" s="8" t="s">
        <v>154</v>
      </c>
      <c r="G626" s="8" t="s">
        <v>102</v>
      </c>
      <c r="H626" s="8" t="s">
        <v>132</v>
      </c>
      <c r="I626" s="8" t="s">
        <v>220</v>
      </c>
      <c r="J626" s="8" t="s">
        <v>47</v>
      </c>
      <c r="K626" s="8" t="n">
        <v>1</v>
      </c>
      <c r="L626" s="12" t="n">
        <v>1080.64</v>
      </c>
      <c r="M626" s="13" t="n">
        <v>0.1</v>
      </c>
      <c r="N626" s="12" t="n">
        <v>972.58</v>
      </c>
      <c r="O626" s="12" t="n">
        <v>322.31</v>
      </c>
      <c r="P626" s="8" t="str">
        <f aca="false">TEXT(B626,"mmm-yyyy")</f>
        <v>Dec-2024</v>
      </c>
      <c r="Q626" s="14" t="n">
        <f aca="false">IFERROR(O626/N626,"")</f>
        <v>0.331396903082523</v>
      </c>
      <c r="R626" s="8" t="str">
        <f aca="false">IF(OR(N626&gt;$U$3,N626&lt;$U$2),"Sales Outlier",IF(OR(O626&gt;$U$6,O626&lt;$U$4),"Profit Outlier",""))</f>
        <v/>
      </c>
    </row>
    <row r="627" customFormat="false" ht="15" hidden="false" customHeight="true" outlineLevel="0" collapsed="false">
      <c r="A627" s="8" t="s">
        <v>2054</v>
      </c>
      <c r="B627" s="11" t="n">
        <v>45631</v>
      </c>
      <c r="C627" s="11" t="n">
        <v>45636</v>
      </c>
      <c r="D627" s="8" t="s">
        <v>2057</v>
      </c>
      <c r="E627" s="8" t="s">
        <v>24</v>
      </c>
      <c r="F627" s="8" t="s">
        <v>61</v>
      </c>
      <c r="G627" s="8" t="s">
        <v>62</v>
      </c>
      <c r="H627" s="8" t="s">
        <v>77</v>
      </c>
      <c r="I627" s="8" t="s">
        <v>78</v>
      </c>
      <c r="J627" s="8" t="s">
        <v>47</v>
      </c>
      <c r="K627" s="8" t="n">
        <v>2</v>
      </c>
      <c r="L627" s="12" t="n">
        <v>466.38</v>
      </c>
      <c r="M627" s="13" t="n">
        <v>0</v>
      </c>
      <c r="N627" s="12" t="n">
        <v>466.38</v>
      </c>
      <c r="O627" s="12" t="n">
        <v>24.1</v>
      </c>
      <c r="P627" s="8" t="str">
        <f aca="false">TEXT(B627,"mmm-yyyy")</f>
        <v>Dec-2024</v>
      </c>
      <c r="Q627" s="14" t="n">
        <f aca="false">IFERROR(O627/N627,"")</f>
        <v>0.0516746001114971</v>
      </c>
      <c r="R627" s="8" t="str">
        <f aca="false">IF(OR(N627&gt;$U$3,N627&lt;$U$2),"Sales Outlier",IF(OR(O627&gt;$U$6,O627&lt;$U$4),"Profit Outlier",""))</f>
        <v/>
      </c>
    </row>
    <row r="628" customFormat="false" ht="15" hidden="false" customHeight="true" outlineLevel="0" collapsed="false">
      <c r="A628" s="8" t="s">
        <v>2196</v>
      </c>
      <c r="B628" s="11" t="n">
        <v>45631</v>
      </c>
      <c r="C628" s="11" t="n">
        <v>45637</v>
      </c>
      <c r="D628" s="8" t="s">
        <v>2046</v>
      </c>
      <c r="E628" s="8" t="s">
        <v>52</v>
      </c>
      <c r="F628" s="8" t="s">
        <v>147</v>
      </c>
      <c r="G628" s="8" t="s">
        <v>326</v>
      </c>
      <c r="H628" s="8" t="s">
        <v>114</v>
      </c>
      <c r="I628" s="8" t="s">
        <v>96</v>
      </c>
      <c r="J628" s="8" t="s">
        <v>47</v>
      </c>
      <c r="K628" s="8" t="n">
        <v>1</v>
      </c>
      <c r="L628" s="12" t="n">
        <v>170.79</v>
      </c>
      <c r="M628" s="13" t="n">
        <v>0.1</v>
      </c>
      <c r="N628" s="12" t="n">
        <v>153.71</v>
      </c>
      <c r="O628" s="12" t="n">
        <v>53.08</v>
      </c>
      <c r="P628" s="8" t="str">
        <f aca="false">TEXT(B628,"mmm-yyyy")</f>
        <v>Dec-2024</v>
      </c>
      <c r="Q628" s="14" t="n">
        <f aca="false">IFERROR(O628/N628,"")</f>
        <v>0.345325613167653</v>
      </c>
      <c r="R628" s="8" t="str">
        <f aca="false">IF(OR(N628&gt;$U$3,N628&lt;$U$2),"Sales Outlier",IF(OR(O628&gt;$U$6,O628&lt;$U$4),"Profit Outlier",""))</f>
        <v/>
      </c>
    </row>
    <row r="629" customFormat="false" ht="15" hidden="false" customHeight="true" outlineLevel="0" collapsed="false">
      <c r="A629" s="8" t="s">
        <v>1744</v>
      </c>
      <c r="B629" s="11" t="n">
        <v>45633</v>
      </c>
      <c r="C629" s="11" t="n">
        <v>45488</v>
      </c>
      <c r="D629" s="8" t="s">
        <v>440</v>
      </c>
      <c r="E629" s="8" t="s">
        <v>52</v>
      </c>
      <c r="F629" s="8" t="s">
        <v>147</v>
      </c>
      <c r="G629" s="8" t="s">
        <v>326</v>
      </c>
      <c r="H629" s="8" t="s">
        <v>37</v>
      </c>
      <c r="I629" s="8" t="s">
        <v>38</v>
      </c>
      <c r="J629" s="8" t="s">
        <v>64</v>
      </c>
      <c r="K629" s="8" t="n">
        <v>2</v>
      </c>
      <c r="L629" s="12" t="n">
        <v>591.34</v>
      </c>
      <c r="M629" s="13" t="n">
        <v>0.1</v>
      </c>
      <c r="N629" s="12" t="n">
        <v>532.21</v>
      </c>
      <c r="O629" s="12" t="n">
        <v>26.71</v>
      </c>
      <c r="P629" s="8" t="str">
        <f aca="false">TEXT(B629,"mmm-yyyy")</f>
        <v>Dec-2024</v>
      </c>
      <c r="Q629" s="14" t="n">
        <f aca="false">IFERROR(O629/N629,"")</f>
        <v>0.0501869562766577</v>
      </c>
      <c r="R629" s="8" t="str">
        <f aca="false">IF(OR(N629&gt;$U$3,N629&lt;$U$2),"Sales Outlier",IF(OR(O629&gt;$U$6,O629&lt;$U$4),"Profit Outlier",""))</f>
        <v/>
      </c>
    </row>
    <row r="630" customFormat="false" ht="15" hidden="false" customHeight="true" outlineLevel="0" collapsed="false">
      <c r="A630" s="8" t="s">
        <v>430</v>
      </c>
      <c r="B630" s="11" t="n">
        <v>45634</v>
      </c>
      <c r="C630" s="11" t="n">
        <v>45520</v>
      </c>
      <c r="D630" s="8" t="s">
        <v>433</v>
      </c>
      <c r="E630" s="8" t="s">
        <v>2285</v>
      </c>
      <c r="F630" s="8" t="s">
        <v>126</v>
      </c>
      <c r="G630" s="8" t="s">
        <v>89</v>
      </c>
      <c r="H630" s="8" t="s">
        <v>77</v>
      </c>
      <c r="I630" s="8" t="s">
        <v>78</v>
      </c>
      <c r="J630" s="8" t="s">
        <v>64</v>
      </c>
      <c r="K630" s="8" t="n">
        <v>1</v>
      </c>
      <c r="L630" s="12" t="n">
        <v>1028.79</v>
      </c>
      <c r="M630" s="13" t="n">
        <v>0</v>
      </c>
      <c r="N630" s="12" t="n">
        <v>1028.79</v>
      </c>
      <c r="O630" s="12" t="n">
        <v>243.19</v>
      </c>
      <c r="P630" s="8" t="str">
        <f aca="false">TEXT(B630,"mmm-yyyy")</f>
        <v>Dec-2024</v>
      </c>
      <c r="Q630" s="14" t="n">
        <f aca="false">IFERROR(O630/N630,"")</f>
        <v>0.236384490517987</v>
      </c>
      <c r="R630" s="8" t="str">
        <f aca="false">IF(OR(N630&gt;$U$3,N630&lt;$U$2),"Sales Outlier",IF(OR(O630&gt;$U$6,O630&lt;$U$4),"Profit Outlier",""))</f>
        <v/>
      </c>
    </row>
    <row r="631" customFormat="false" ht="15" hidden="false" customHeight="true" outlineLevel="0" collapsed="false">
      <c r="A631" s="8" t="s">
        <v>1207</v>
      </c>
      <c r="B631" s="11" t="n">
        <v>45634</v>
      </c>
      <c r="C631" s="11" t="n">
        <v>45636</v>
      </c>
      <c r="D631" s="8" t="s">
        <v>1210</v>
      </c>
      <c r="E631" s="8" t="s">
        <v>34</v>
      </c>
      <c r="F631" s="8" t="s">
        <v>154</v>
      </c>
      <c r="G631" s="8" t="s">
        <v>182</v>
      </c>
      <c r="H631" s="8" t="s">
        <v>132</v>
      </c>
      <c r="I631" s="8" t="s">
        <v>104</v>
      </c>
      <c r="J631" s="8" t="s">
        <v>47</v>
      </c>
      <c r="K631" s="8" t="n">
        <v>4</v>
      </c>
      <c r="L631" s="12" t="n">
        <v>505.44</v>
      </c>
      <c r="M631" s="13" t="n">
        <v>0.15</v>
      </c>
      <c r="N631" s="12" t="n">
        <v>1718.5</v>
      </c>
      <c r="O631" s="12" t="n">
        <v>-65.07</v>
      </c>
      <c r="P631" s="8" t="str">
        <f aca="false">TEXT(B631,"mmm-yyyy")</f>
        <v>Dec-2024</v>
      </c>
      <c r="Q631" s="14" t="n">
        <f aca="false">IFERROR(O631/N631,"")</f>
        <v>-0.0378644166424207</v>
      </c>
      <c r="R631" s="8" t="str">
        <f aca="false">IF(OR(N631&gt;$U$3,N631&lt;$U$2),"Sales Outlier",IF(OR(O631&gt;$U$6,O631&lt;$U$4),"Profit Outlier",""))</f>
        <v/>
      </c>
    </row>
    <row r="632" customFormat="false" ht="15" hidden="false" customHeight="true" outlineLevel="0" collapsed="false">
      <c r="A632" s="8" t="s">
        <v>211</v>
      </c>
      <c r="B632" s="11" t="n">
        <v>45637</v>
      </c>
      <c r="C632" s="11" t="n">
        <v>45639</v>
      </c>
      <c r="D632" s="8" t="s">
        <v>214</v>
      </c>
      <c r="E632" s="8" t="s">
        <v>34</v>
      </c>
      <c r="F632" s="8" t="s">
        <v>147</v>
      </c>
      <c r="G632" s="8" t="s">
        <v>215</v>
      </c>
      <c r="H632" s="8" t="s">
        <v>45</v>
      </c>
      <c r="I632" s="8" t="s">
        <v>149</v>
      </c>
      <c r="J632" s="8" t="s">
        <v>39</v>
      </c>
      <c r="K632" s="8" t="n">
        <v>5</v>
      </c>
      <c r="L632" s="12" t="n">
        <v>815.09</v>
      </c>
      <c r="M632" s="13" t="n">
        <v>0</v>
      </c>
      <c r="N632" s="12" t="n">
        <v>4075.45</v>
      </c>
      <c r="O632" s="12" t="n">
        <v>-375.18</v>
      </c>
      <c r="P632" s="8" t="str">
        <f aca="false">TEXT(B632,"mmm-yyyy")</f>
        <v>Dec-2024</v>
      </c>
      <c r="Q632" s="14" t="n">
        <f aca="false">IFERROR(O632/N632,"")</f>
        <v>-0.0920585456820719</v>
      </c>
      <c r="R632" s="8" t="str">
        <f aca="false">IF(OR(N632&gt;$U$3,N632&lt;$U$2),"Sales Outlier",IF(OR(O632&gt;$U$6,O632&lt;$U$4),"Profit Outlier",""))</f>
        <v/>
      </c>
    </row>
    <row r="633" customFormat="false" ht="15" hidden="false" customHeight="true" outlineLevel="0" collapsed="false">
      <c r="A633" s="8" t="s">
        <v>1722</v>
      </c>
      <c r="B633" s="11" t="n">
        <v>45637</v>
      </c>
      <c r="C633" s="11" t="n">
        <v>45644</v>
      </c>
      <c r="D633" s="8" t="s">
        <v>723</v>
      </c>
      <c r="E633" s="8" t="s">
        <v>34</v>
      </c>
      <c r="F633" s="8" t="s">
        <v>126</v>
      </c>
      <c r="G633" s="8" t="s">
        <v>26</v>
      </c>
      <c r="H633" s="8" t="s">
        <v>132</v>
      </c>
      <c r="I633" s="8" t="s">
        <v>63</v>
      </c>
      <c r="J633" s="8" t="s">
        <v>29</v>
      </c>
      <c r="K633" s="8" t="n">
        <v>5</v>
      </c>
      <c r="L633" s="12" t="n">
        <v>634.7</v>
      </c>
      <c r="M633" s="13" t="n">
        <v>0</v>
      </c>
      <c r="N633" s="12" t="n">
        <v>3173.5</v>
      </c>
      <c r="O633" s="12" t="n">
        <v>480.05</v>
      </c>
      <c r="P633" s="8" t="str">
        <f aca="false">TEXT(B633,"mmm-yyyy")</f>
        <v>Dec-2024</v>
      </c>
      <c r="Q633" s="14" t="n">
        <f aca="false">IFERROR(O633/N633,"")</f>
        <v>0.15126831573972</v>
      </c>
      <c r="R633" s="8" t="str">
        <f aca="false">IF(OR(N633&gt;$U$3,N633&lt;$U$2),"Sales Outlier",IF(OR(O633&gt;$U$6,O633&lt;$U$4),"Profit Outlier",""))</f>
        <v/>
      </c>
    </row>
    <row r="634" customFormat="false" ht="15" hidden="false" customHeight="true" outlineLevel="0" collapsed="false">
      <c r="A634" s="8" t="s">
        <v>1241</v>
      </c>
      <c r="B634" s="11" t="n">
        <v>45639</v>
      </c>
      <c r="C634" s="11" t="n">
        <v>45642</v>
      </c>
      <c r="D634" s="8" t="s">
        <v>1244</v>
      </c>
      <c r="E634" s="8" t="s">
        <v>34</v>
      </c>
      <c r="F634" s="8" t="s">
        <v>147</v>
      </c>
      <c r="G634" s="8" t="s">
        <v>326</v>
      </c>
      <c r="H634" s="8" t="s">
        <v>132</v>
      </c>
      <c r="I634" s="8" t="s">
        <v>133</v>
      </c>
      <c r="J634" s="8" t="s">
        <v>39</v>
      </c>
      <c r="K634" s="8" t="n">
        <v>3</v>
      </c>
      <c r="L634" s="12" t="n">
        <v>799.46</v>
      </c>
      <c r="M634" s="13" t="n">
        <v>0.05</v>
      </c>
      <c r="N634" s="12" t="n">
        <v>2278.46</v>
      </c>
      <c r="O634" s="12" t="n">
        <v>145.15</v>
      </c>
      <c r="P634" s="8" t="str">
        <f aca="false">TEXT(B634,"mmm-yyyy")</f>
        <v>Dec-2024</v>
      </c>
      <c r="Q634" s="14" t="n">
        <f aca="false">IFERROR(O634/N634,"")</f>
        <v>0.0637053097267453</v>
      </c>
      <c r="R634" s="8" t="str">
        <f aca="false">IF(OR(N634&gt;$U$3,N634&lt;$U$2),"Sales Outlier",IF(OR(O634&gt;$U$6,O634&lt;$U$4),"Profit Outlier",""))</f>
        <v/>
      </c>
    </row>
    <row r="635" customFormat="false" ht="15" hidden="false" customHeight="true" outlineLevel="0" collapsed="false">
      <c r="A635" s="8" t="s">
        <v>242</v>
      </c>
      <c r="B635" s="11" t="n">
        <v>45639</v>
      </c>
      <c r="C635" s="11" t="n">
        <v>45643</v>
      </c>
      <c r="D635" s="8" t="s">
        <v>244</v>
      </c>
      <c r="E635" s="8" t="s">
        <v>34</v>
      </c>
      <c r="F635" s="8" t="s">
        <v>154</v>
      </c>
      <c r="G635" s="8" t="s">
        <v>102</v>
      </c>
      <c r="H635" s="8" t="s">
        <v>114</v>
      </c>
      <c r="I635" s="8" t="s">
        <v>115</v>
      </c>
      <c r="J635" s="8" t="s">
        <v>64</v>
      </c>
      <c r="K635" s="8" t="n">
        <v>2</v>
      </c>
      <c r="L635" s="12" t="n">
        <v>41.93</v>
      </c>
      <c r="M635" s="13" t="n">
        <v>0.2</v>
      </c>
      <c r="N635" s="12" t="n">
        <v>33.54</v>
      </c>
      <c r="O635" s="12" t="n">
        <v>9.88</v>
      </c>
      <c r="P635" s="8" t="str">
        <f aca="false">TEXT(B635,"mmm-yyyy")</f>
        <v>Dec-2024</v>
      </c>
      <c r="Q635" s="14" t="n">
        <f aca="false">IFERROR(O635/N635,"")</f>
        <v>0.294573643410853</v>
      </c>
      <c r="R635" s="8" t="str">
        <f aca="false">IF(OR(N635&gt;$U$3,N635&lt;$U$2),"Sales Outlier",IF(OR(O635&gt;$U$6,O635&lt;$U$4),"Profit Outlier",""))</f>
        <v/>
      </c>
    </row>
    <row r="636" customFormat="false" ht="15" hidden="false" customHeight="true" outlineLevel="0" collapsed="false">
      <c r="A636" s="8" t="s">
        <v>1695</v>
      </c>
      <c r="B636" s="11" t="n">
        <v>45640</v>
      </c>
      <c r="C636" s="11" t="n">
        <v>45641</v>
      </c>
      <c r="D636" s="8" t="s">
        <v>68</v>
      </c>
      <c r="E636" s="8" t="s">
        <v>34</v>
      </c>
      <c r="F636" s="8" t="s">
        <v>61</v>
      </c>
      <c r="G636" s="8" t="s">
        <v>62</v>
      </c>
      <c r="H636" s="8" t="s">
        <v>37</v>
      </c>
      <c r="I636" s="8" t="s">
        <v>84</v>
      </c>
      <c r="J636" s="8" t="s">
        <v>29</v>
      </c>
      <c r="K636" s="8" t="n">
        <v>2</v>
      </c>
      <c r="L636" s="12" t="n">
        <v>763.8</v>
      </c>
      <c r="M636" s="13" t="n">
        <v>0.1</v>
      </c>
      <c r="N636" s="12" t="n">
        <v>687.42</v>
      </c>
      <c r="O636" s="12" t="n">
        <v>126.44</v>
      </c>
      <c r="P636" s="8" t="str">
        <f aca="false">TEXT(B636,"mmm-yyyy")</f>
        <v>Dec-2024</v>
      </c>
      <c r="Q636" s="14" t="n">
        <f aca="false">IFERROR(O636/N636,"")</f>
        <v>0.183934130517006</v>
      </c>
      <c r="R636" s="8" t="str">
        <f aca="false">IF(OR(N636&gt;$U$3,N636&lt;$U$2),"Sales Outlier",IF(OR(O636&gt;$U$6,O636&lt;$U$4),"Profit Outlier",""))</f>
        <v/>
      </c>
    </row>
    <row r="637" customFormat="false" ht="15" hidden="false" customHeight="true" outlineLevel="0" collapsed="false">
      <c r="A637" s="8" t="s">
        <v>965</v>
      </c>
      <c r="B637" s="11" t="n">
        <v>45642</v>
      </c>
      <c r="C637" s="11" t="n">
        <v>45645</v>
      </c>
      <c r="D637" s="8" t="s">
        <v>2282</v>
      </c>
      <c r="E637" s="8" t="s">
        <v>24</v>
      </c>
      <c r="F637" s="8" t="s">
        <v>61</v>
      </c>
      <c r="G637" s="8" t="s">
        <v>62</v>
      </c>
      <c r="H637" s="8" t="s">
        <v>114</v>
      </c>
      <c r="I637" s="8" t="s">
        <v>115</v>
      </c>
      <c r="J637" s="8" t="s">
        <v>29</v>
      </c>
      <c r="K637" s="8" t="n">
        <v>2</v>
      </c>
      <c r="L637" s="12" t="n">
        <v>1116.37</v>
      </c>
      <c r="M637" s="13" t="n">
        <v>0.15</v>
      </c>
      <c r="N637" s="12" t="n">
        <v>1897.83</v>
      </c>
      <c r="O637" s="12" t="n">
        <v>-188.43</v>
      </c>
      <c r="P637" s="8" t="str">
        <f aca="false">TEXT(B637,"mmm-yyyy")</f>
        <v>Dec-2024</v>
      </c>
      <c r="Q637" s="14" t="n">
        <f aca="false">IFERROR(O637/N637,"")</f>
        <v>-0.0992870805077378</v>
      </c>
      <c r="R637" s="8" t="str">
        <f aca="false">IF(OR(N637&gt;$U$3,N637&lt;$U$2),"Sales Outlier",IF(OR(O637&gt;$U$6,O637&lt;$U$4),"Profit Outlier",""))</f>
        <v/>
      </c>
    </row>
    <row r="638" customFormat="false" ht="15" hidden="false" customHeight="true" outlineLevel="0" collapsed="false">
      <c r="A638" s="8" t="s">
        <v>1732</v>
      </c>
      <c r="B638" s="11" t="n">
        <v>45644</v>
      </c>
      <c r="C638" s="11" t="n">
        <v>45651</v>
      </c>
      <c r="D638" s="8" t="s">
        <v>1735</v>
      </c>
      <c r="E638" s="8" t="s">
        <v>24</v>
      </c>
      <c r="F638" s="8" t="s">
        <v>154</v>
      </c>
      <c r="G638" s="8" t="s">
        <v>119</v>
      </c>
      <c r="H638" s="8" t="s">
        <v>37</v>
      </c>
      <c r="I638" s="8" t="s">
        <v>38</v>
      </c>
      <c r="J638" s="8" t="s">
        <v>64</v>
      </c>
      <c r="K638" s="8" t="n">
        <v>4</v>
      </c>
      <c r="L638" s="12" t="n">
        <v>1111.62</v>
      </c>
      <c r="M638" s="13" t="n">
        <v>0.15</v>
      </c>
      <c r="N638" s="12" t="n">
        <v>3779.51</v>
      </c>
      <c r="O638" s="12" t="n">
        <v>948.55</v>
      </c>
      <c r="P638" s="8" t="str">
        <f aca="false">TEXT(B638,"mmm-yyyy")</f>
        <v>Dec-2024</v>
      </c>
      <c r="Q638" s="14" t="n">
        <f aca="false">IFERROR(O638/N638,"")</f>
        <v>0.250971686805962</v>
      </c>
      <c r="R638" s="8" t="str">
        <f aca="false">IF(OR(N638&gt;$U$3,N638&lt;$U$2),"Sales Outlier",IF(OR(O638&gt;$U$6,O638&lt;$U$4),"Profit Outlier",""))</f>
        <v/>
      </c>
    </row>
    <row r="639" customFormat="false" ht="15" hidden="false" customHeight="true" outlineLevel="0" collapsed="false">
      <c r="A639" s="8" t="s">
        <v>1753</v>
      </c>
      <c r="B639" s="11" t="n">
        <v>45644</v>
      </c>
      <c r="C639" s="11"/>
      <c r="D639" s="8" t="s">
        <v>2314</v>
      </c>
      <c r="E639" s="8" t="s">
        <v>2285</v>
      </c>
      <c r="F639" s="8" t="s">
        <v>147</v>
      </c>
      <c r="G639" s="8" t="s">
        <v>326</v>
      </c>
      <c r="H639" s="8" t="s">
        <v>77</v>
      </c>
      <c r="I639" s="8" t="s">
        <v>127</v>
      </c>
      <c r="J639" s="8" t="s">
        <v>64</v>
      </c>
      <c r="K639" s="8" t="n">
        <v>2</v>
      </c>
      <c r="L639" s="12" t="n">
        <v>67.15</v>
      </c>
      <c r="M639" s="13" t="n">
        <v>0.05</v>
      </c>
      <c r="N639" s="12" t="n">
        <v>127.59</v>
      </c>
      <c r="O639" s="12" t="n">
        <v>-8.15</v>
      </c>
      <c r="P639" s="8" t="str">
        <f aca="false">TEXT(B639,"mmm-yyyy")</f>
        <v>Dec-2024</v>
      </c>
      <c r="Q639" s="14" t="n">
        <f aca="false">IFERROR(O639/N639,"")</f>
        <v>-0.0638764793479113</v>
      </c>
      <c r="R639" s="8" t="str">
        <f aca="false">IF(OR(N639&gt;$U$3,N639&lt;$U$2),"Sales Outlier",IF(OR(O639&gt;$U$6,O639&lt;$U$4),"Profit Outlier",""))</f>
        <v/>
      </c>
    </row>
    <row r="640" customFormat="false" ht="15" hidden="false" customHeight="true" outlineLevel="0" collapsed="false">
      <c r="A640" s="8" t="s">
        <v>221</v>
      </c>
      <c r="B640" s="11" t="n">
        <v>45645</v>
      </c>
      <c r="C640" s="11" t="n">
        <v>45648</v>
      </c>
      <c r="D640" s="8" t="s">
        <v>224</v>
      </c>
      <c r="E640" s="8" t="s">
        <v>52</v>
      </c>
      <c r="F640" s="8" t="s">
        <v>126</v>
      </c>
      <c r="G640" s="8" t="s">
        <v>26</v>
      </c>
      <c r="H640" s="8" t="s">
        <v>37</v>
      </c>
      <c r="I640" s="8" t="s">
        <v>38</v>
      </c>
      <c r="J640" s="8" t="s">
        <v>64</v>
      </c>
      <c r="K640" s="8" t="n">
        <v>2</v>
      </c>
      <c r="L640" s="12" t="n">
        <v>54.11</v>
      </c>
      <c r="M640" s="13" t="n">
        <v>0.2</v>
      </c>
      <c r="N640" s="12" t="n">
        <v>1298.7</v>
      </c>
      <c r="O640" s="12" t="n">
        <v>-4.36</v>
      </c>
      <c r="P640" s="8" t="str">
        <f aca="false">TEXT(B640,"mmm-yyyy")</f>
        <v>Dec-2024</v>
      </c>
      <c r="Q640" s="14" t="n">
        <f aca="false">IFERROR(O640/N640,"")</f>
        <v>-0.00335720335720336</v>
      </c>
      <c r="R640" s="8" t="str">
        <f aca="false">IF(OR(N640&gt;$U$3,N640&lt;$U$2),"Sales Outlier",IF(OR(O640&gt;$U$6,O640&lt;$U$4),"Profit Outlier",""))</f>
        <v/>
      </c>
    </row>
    <row r="641" customFormat="false" ht="15" hidden="false" customHeight="true" outlineLevel="0" collapsed="false">
      <c r="A641" s="8" t="s">
        <v>1548</v>
      </c>
      <c r="B641" s="11" t="n">
        <v>45647</v>
      </c>
      <c r="C641" s="11"/>
      <c r="D641" s="8" t="s">
        <v>1550</v>
      </c>
      <c r="E641" s="8" t="s">
        <v>34</v>
      </c>
      <c r="F641" s="8" t="s">
        <v>154</v>
      </c>
      <c r="G641" s="8" t="s">
        <v>102</v>
      </c>
      <c r="H641" s="8" t="s">
        <v>114</v>
      </c>
      <c r="I641" s="8" t="s">
        <v>96</v>
      </c>
      <c r="J641" s="8" t="s">
        <v>29</v>
      </c>
      <c r="K641" s="8" t="n">
        <v>2</v>
      </c>
      <c r="L641" s="12" t="n">
        <v>145.1</v>
      </c>
      <c r="M641" s="13" t="n">
        <v>0</v>
      </c>
      <c r="N641" s="12" t="n">
        <v>290.2</v>
      </c>
      <c r="O641" s="12" t="n">
        <v>80.34</v>
      </c>
      <c r="P641" s="8" t="str">
        <f aca="false">TEXT(B641,"mmm-yyyy")</f>
        <v>Dec-2024</v>
      </c>
      <c r="Q641" s="14" t="n">
        <f aca="false">IFERROR(O641/N641,"")</f>
        <v>0.27684355616816</v>
      </c>
      <c r="R641" s="8" t="str">
        <f aca="false">IF(OR(N641&gt;$U$3,N641&lt;$U$2),"Sales Outlier",IF(OR(O641&gt;$U$6,O641&lt;$U$4),"Profit Outlier",""))</f>
        <v/>
      </c>
    </row>
    <row r="642" customFormat="false" ht="15" hidden="false" customHeight="true" outlineLevel="0" collapsed="false">
      <c r="A642" s="8" t="s">
        <v>1014</v>
      </c>
      <c r="B642" s="11" t="n">
        <v>45647</v>
      </c>
      <c r="C642" s="11" t="n">
        <v>45654</v>
      </c>
      <c r="D642" s="8" t="s">
        <v>2282</v>
      </c>
      <c r="E642" s="8" t="s">
        <v>34</v>
      </c>
      <c r="F642" s="8" t="s">
        <v>154</v>
      </c>
      <c r="G642" s="8" t="s">
        <v>102</v>
      </c>
      <c r="H642" s="8" t="s">
        <v>132</v>
      </c>
      <c r="I642" s="8" t="s">
        <v>133</v>
      </c>
      <c r="J642" s="8" t="s">
        <v>29</v>
      </c>
      <c r="K642" s="8" t="n">
        <v>1</v>
      </c>
      <c r="L642" s="12" t="n">
        <v>538.5</v>
      </c>
      <c r="M642" s="13" t="n">
        <v>0</v>
      </c>
      <c r="N642" s="12" t="n">
        <v>538.5</v>
      </c>
      <c r="O642" s="12" t="n">
        <v>52.52</v>
      </c>
      <c r="P642" s="8" t="str">
        <f aca="false">TEXT(B642,"mmm-yyyy")</f>
        <v>Dec-2024</v>
      </c>
      <c r="Q642" s="14" t="n">
        <f aca="false">IFERROR(O642/N642,"")</f>
        <v>0.0975301764159703</v>
      </c>
      <c r="R642" s="8" t="str">
        <f aca="false">IF(OR(N642&gt;$U$3,N642&lt;$U$2),"Sales Outlier",IF(OR(O642&gt;$U$6,O642&lt;$U$4),"Profit Outlier",""))</f>
        <v/>
      </c>
    </row>
    <row r="643" customFormat="false" ht="15" hidden="false" customHeight="true" outlineLevel="0" collapsed="false">
      <c r="A643" s="8" t="s">
        <v>877</v>
      </c>
      <c r="B643" s="11" t="n">
        <v>45648</v>
      </c>
      <c r="C643" s="11" t="n">
        <v>45651</v>
      </c>
      <c r="D643" s="8" t="s">
        <v>879</v>
      </c>
      <c r="E643" s="8" t="s">
        <v>52</v>
      </c>
      <c r="F643" s="8" t="s">
        <v>126</v>
      </c>
      <c r="G643" s="8" t="s">
        <v>26</v>
      </c>
      <c r="H643" s="8" t="s">
        <v>114</v>
      </c>
      <c r="I643" s="8" t="s">
        <v>109</v>
      </c>
      <c r="J643" s="8" t="s">
        <v>39</v>
      </c>
      <c r="K643" s="8" t="n">
        <v>5</v>
      </c>
      <c r="L643" s="12" t="n">
        <v>59.08</v>
      </c>
      <c r="M643" s="13" t="n">
        <v>0.15</v>
      </c>
      <c r="N643" s="12" t="n">
        <v>251.09</v>
      </c>
      <c r="O643" s="12" t="n">
        <v>84.12</v>
      </c>
      <c r="P643" s="8" t="str">
        <f aca="false">TEXT(B643,"mmm-yyyy")</f>
        <v>Dec-2024</v>
      </c>
      <c r="Q643" s="14" t="n">
        <f aca="false">IFERROR(O643/N643,"")</f>
        <v>0.335019315783185</v>
      </c>
      <c r="R643" s="8" t="str">
        <f aca="false">IF(OR(N643&gt;$U$3,N643&lt;$U$2),"Sales Outlier",IF(OR(O643&gt;$U$6,O643&lt;$U$4),"Profit Outlier",""))</f>
        <v/>
      </c>
    </row>
    <row r="644" customFormat="false" ht="15" hidden="false" customHeight="true" outlineLevel="0" collapsed="false">
      <c r="A644" s="8" t="s">
        <v>1933</v>
      </c>
      <c r="B644" s="11" t="n">
        <v>45649</v>
      </c>
      <c r="C644" s="11" t="n">
        <v>45654</v>
      </c>
      <c r="D644" s="8" t="s">
        <v>1448</v>
      </c>
      <c r="E644" s="8" t="s">
        <v>2285</v>
      </c>
      <c r="F644" s="8" t="s">
        <v>126</v>
      </c>
      <c r="G644" s="8" t="s">
        <v>89</v>
      </c>
      <c r="H644" s="8" t="s">
        <v>114</v>
      </c>
      <c r="I644" s="8" t="s">
        <v>109</v>
      </c>
      <c r="J644" s="8" t="s">
        <v>39</v>
      </c>
      <c r="K644" s="8" t="n">
        <v>2</v>
      </c>
      <c r="L644" s="12" t="n">
        <v>420.42</v>
      </c>
      <c r="M644" s="13" t="n">
        <v>0.1</v>
      </c>
      <c r="N644" s="12" t="n">
        <v>756.76</v>
      </c>
      <c r="O644" s="12" t="n">
        <v>28.3</v>
      </c>
      <c r="P644" s="8" t="str">
        <f aca="false">TEXT(B644,"mmm-yyyy")</f>
        <v>Dec-2024</v>
      </c>
      <c r="Q644" s="14" t="n">
        <f aca="false">IFERROR(O644/N644,"")</f>
        <v>0.0373962683017073</v>
      </c>
      <c r="R644" s="8" t="str">
        <f aca="false">IF(OR(N644&gt;$U$3,N644&lt;$U$2),"Sales Outlier",IF(OR(O644&gt;$U$6,O644&lt;$U$4),"Profit Outlier",""))</f>
        <v/>
      </c>
    </row>
    <row r="645" customFormat="false" ht="15" hidden="false" customHeight="true" outlineLevel="0" collapsed="false">
      <c r="A645" s="8" t="s">
        <v>1915</v>
      </c>
      <c r="B645" s="11" t="n">
        <v>45650</v>
      </c>
      <c r="C645" s="11" t="n">
        <v>45655</v>
      </c>
      <c r="D645" s="8" t="s">
        <v>1918</v>
      </c>
      <c r="E645" s="8" t="s">
        <v>2285</v>
      </c>
      <c r="F645" s="8" t="s">
        <v>126</v>
      </c>
      <c r="G645" s="8" t="s">
        <v>82</v>
      </c>
      <c r="H645" s="8" t="s">
        <v>37</v>
      </c>
      <c r="I645" s="8" t="s">
        <v>143</v>
      </c>
      <c r="J645" s="8" t="s">
        <v>47</v>
      </c>
      <c r="K645" s="8" t="n">
        <v>3</v>
      </c>
      <c r="L645" s="12" t="n">
        <v>593.94</v>
      </c>
      <c r="M645" s="13" t="n">
        <v>0</v>
      </c>
      <c r="N645" s="12" t="n">
        <v>1781.82</v>
      </c>
      <c r="O645" s="12" t="n">
        <v>264.25</v>
      </c>
      <c r="P645" s="8" t="str">
        <f aca="false">TEXT(B645,"mmm-yyyy")</f>
        <v>Dec-2024</v>
      </c>
      <c r="Q645" s="14" t="n">
        <f aca="false">IFERROR(O645/N645,"")</f>
        <v>0.148303420098551</v>
      </c>
      <c r="R645" s="8" t="str">
        <f aca="false">IF(OR(N645&gt;$U$3,N645&lt;$U$2),"Sales Outlier",IF(OR(O645&gt;$U$6,O645&lt;$U$4),"Profit Outlier",""))</f>
        <v/>
      </c>
    </row>
    <row r="646" customFormat="false" ht="15" hidden="false" customHeight="true" outlineLevel="0" collapsed="false">
      <c r="A646" s="8" t="s">
        <v>487</v>
      </c>
      <c r="B646" s="11" t="n">
        <v>45653</v>
      </c>
      <c r="C646" s="11" t="n">
        <v>45655</v>
      </c>
      <c r="D646" s="8" t="s">
        <v>2282</v>
      </c>
      <c r="E646" s="8" t="s">
        <v>52</v>
      </c>
      <c r="F646" s="8" t="s">
        <v>154</v>
      </c>
      <c r="G646" s="8" t="s">
        <v>182</v>
      </c>
      <c r="H646" s="8" t="s">
        <v>114</v>
      </c>
      <c r="I646" s="8" t="s">
        <v>201</v>
      </c>
      <c r="J646" s="8" t="s">
        <v>29</v>
      </c>
      <c r="K646" s="8" t="n">
        <v>3</v>
      </c>
      <c r="L646" s="12" t="n">
        <v>11.75</v>
      </c>
      <c r="M646" s="13" t="n">
        <v>0.15</v>
      </c>
      <c r="N646" s="12" t="n">
        <v>29.96</v>
      </c>
      <c r="O646" s="12" t="n">
        <v>-2.31</v>
      </c>
      <c r="P646" s="8" t="str">
        <f aca="false">TEXT(B646,"mmm-yyyy")</f>
        <v>Dec-2024</v>
      </c>
      <c r="Q646" s="14" t="n">
        <f aca="false">IFERROR(O646/N646,"")</f>
        <v>-0.0771028037383178</v>
      </c>
      <c r="R646" s="8" t="str">
        <f aca="false">IF(OR(N646&gt;$U$3,N646&lt;$U$2),"Sales Outlier",IF(OR(O646&gt;$U$6,O646&lt;$U$4),"Profit Outlier",""))</f>
        <v/>
      </c>
    </row>
    <row r="647" customFormat="false" ht="15" hidden="false" customHeight="true" outlineLevel="0" collapsed="false">
      <c r="A647" s="8" t="s">
        <v>2201</v>
      </c>
      <c r="B647" s="11" t="n">
        <v>45653</v>
      </c>
      <c r="C647" s="11" t="n">
        <v>45659</v>
      </c>
      <c r="D647" s="8" t="s">
        <v>2026</v>
      </c>
      <c r="E647" s="8" t="s">
        <v>24</v>
      </c>
      <c r="F647" s="8" t="s">
        <v>154</v>
      </c>
      <c r="G647" s="8" t="s">
        <v>102</v>
      </c>
      <c r="H647" s="8" t="s">
        <v>45</v>
      </c>
      <c r="I647" s="8" t="s">
        <v>46</v>
      </c>
      <c r="J647" s="8" t="s">
        <v>47</v>
      </c>
      <c r="K647" s="8" t="n">
        <v>2</v>
      </c>
      <c r="L647" s="12" t="n">
        <v>1094.23</v>
      </c>
      <c r="M647" s="13" t="n">
        <v>0</v>
      </c>
      <c r="N647" s="12" t="n">
        <v>2188.46</v>
      </c>
      <c r="O647" s="12" t="n">
        <v>223.15</v>
      </c>
      <c r="P647" s="8" t="str">
        <f aca="false">TEXT(B647,"mmm-yyyy")</f>
        <v>Dec-2024</v>
      </c>
      <c r="Q647" s="14" t="n">
        <f aca="false">IFERROR(O647/N647,"")</f>
        <v>0.10196667976568</v>
      </c>
      <c r="R647" s="8" t="str">
        <f aca="false">IF(OR(N647&gt;$U$3,N647&lt;$U$2),"Sales Outlier",IF(OR(O647&gt;$U$6,O647&lt;$U$4),"Profit Outlier",""))</f>
        <v/>
      </c>
    </row>
    <row r="648" customFormat="false" ht="15" hidden="false" customHeight="true" outlineLevel="0" collapsed="false">
      <c r="A648" s="8" t="s">
        <v>1544</v>
      </c>
      <c r="B648" s="11" t="n">
        <v>45653</v>
      </c>
      <c r="C648" s="11" t="n">
        <v>45659</v>
      </c>
      <c r="D648" s="8" t="s">
        <v>1655</v>
      </c>
      <c r="E648" s="8" t="s">
        <v>24</v>
      </c>
      <c r="F648" s="8" t="s">
        <v>154</v>
      </c>
      <c r="G648" s="8" t="s">
        <v>182</v>
      </c>
      <c r="H648" s="8" t="s">
        <v>132</v>
      </c>
      <c r="I648" s="8" t="s">
        <v>220</v>
      </c>
      <c r="J648" s="8" t="s">
        <v>47</v>
      </c>
      <c r="K648" s="8" t="n">
        <v>5</v>
      </c>
      <c r="L648" s="12" t="n">
        <v>313.08</v>
      </c>
      <c r="M648" s="13" t="n">
        <v>0</v>
      </c>
      <c r="N648" s="12" t="n">
        <v>1565.4</v>
      </c>
      <c r="O648" s="12" t="n">
        <v>410.02</v>
      </c>
      <c r="P648" s="8" t="str">
        <f aca="false">TEXT(B648,"mmm-yyyy")</f>
        <v>Dec-2024</v>
      </c>
      <c r="Q648" s="14" t="n">
        <f aca="false">IFERROR(O648/N648,"")</f>
        <v>0.261926664111409</v>
      </c>
      <c r="R648" s="8" t="str">
        <f aca="false">IF(OR(N648&gt;$U$3,N648&lt;$U$2),"Sales Outlier",IF(OR(O648&gt;$U$6,O648&lt;$U$4),"Profit Outlier",""))</f>
        <v/>
      </c>
    </row>
    <row r="649" customFormat="false" ht="15" hidden="false" customHeight="true" outlineLevel="0" collapsed="false">
      <c r="A649" s="8" t="s">
        <v>1372</v>
      </c>
      <c r="B649" s="11" t="n">
        <v>45655</v>
      </c>
      <c r="C649" s="11" t="n">
        <v>45660</v>
      </c>
      <c r="D649" s="8" t="s">
        <v>408</v>
      </c>
      <c r="E649" s="8" t="s">
        <v>52</v>
      </c>
      <c r="F649" s="8" t="s">
        <v>61</v>
      </c>
      <c r="G649" s="8" t="s">
        <v>36</v>
      </c>
      <c r="H649" s="8" t="s">
        <v>37</v>
      </c>
      <c r="I649" s="8" t="s">
        <v>404</v>
      </c>
      <c r="J649" s="8" t="s">
        <v>64</v>
      </c>
      <c r="K649" s="8" t="n">
        <v>2</v>
      </c>
      <c r="L649" s="12" t="n">
        <v>744.26</v>
      </c>
      <c r="M649" s="13" t="n">
        <v>0.05</v>
      </c>
      <c r="N649" s="12" t="n">
        <v>1414.09</v>
      </c>
      <c r="O649" s="12" t="n">
        <v>-60.93</v>
      </c>
      <c r="P649" s="8" t="str">
        <f aca="false">TEXT(B649,"mmm-yyyy")</f>
        <v>Dec-2024</v>
      </c>
      <c r="Q649" s="14" t="n">
        <f aca="false">IFERROR(O649/N649,"")</f>
        <v>-0.0430877808343175</v>
      </c>
      <c r="R649" s="8" t="str">
        <f aca="false">IF(OR(N649&gt;$U$3,N649&lt;$U$2),"Sales Outlier",IF(OR(O649&gt;$U$6,O649&lt;$U$4),"Profit Outlier",""))</f>
        <v/>
      </c>
    </row>
    <row r="650" customFormat="false" ht="15" hidden="false" customHeight="true" outlineLevel="0" collapsed="false">
      <c r="A650" s="8" t="s">
        <v>957</v>
      </c>
      <c r="B650" s="11" t="n">
        <v>45656</v>
      </c>
      <c r="C650" s="11" t="n">
        <v>45717</v>
      </c>
      <c r="D650" s="8" t="s">
        <v>960</v>
      </c>
      <c r="E650" s="8" t="s">
        <v>52</v>
      </c>
      <c r="F650" s="8" t="s">
        <v>147</v>
      </c>
      <c r="G650" s="8" t="s">
        <v>326</v>
      </c>
      <c r="H650" s="8" t="s">
        <v>77</v>
      </c>
      <c r="I650" s="8" t="s">
        <v>425</v>
      </c>
      <c r="J650" s="8" t="s">
        <v>39</v>
      </c>
      <c r="K650" s="8" t="n">
        <v>5</v>
      </c>
      <c r="L650" s="12" t="n">
        <v>824.89</v>
      </c>
      <c r="M650" s="13" t="n">
        <v>0.15</v>
      </c>
      <c r="N650" s="12" t="n">
        <v>3505.78</v>
      </c>
      <c r="O650" s="12" t="n">
        <v>648.16</v>
      </c>
      <c r="P650" s="8" t="str">
        <f aca="false">TEXT(B650,"mmm-yyyy")</f>
        <v>Dec-2024</v>
      </c>
      <c r="Q650" s="14" t="n">
        <f aca="false">IFERROR(O650/N650,"")</f>
        <v>0.18488324994723</v>
      </c>
      <c r="R650" s="8" t="str">
        <f aca="false">IF(OR(N650&gt;$U$3,N650&lt;$U$2),"Sales Outlier",IF(OR(O650&gt;$U$6,O650&lt;$U$4),"Profit Outlier",""))</f>
        <v/>
      </c>
    </row>
    <row r="651" customFormat="false" ht="15" hidden="false" customHeight="true" outlineLevel="0" collapsed="false">
      <c r="A651" s="8" t="s">
        <v>1883</v>
      </c>
      <c r="B651" s="11" t="n">
        <v>45657</v>
      </c>
      <c r="C651" s="11" t="n">
        <v>45659</v>
      </c>
      <c r="D651" s="8" t="s">
        <v>1266</v>
      </c>
      <c r="E651" s="8" t="s">
        <v>24</v>
      </c>
      <c r="F651" s="8" t="s">
        <v>147</v>
      </c>
      <c r="G651" s="8" t="s">
        <v>326</v>
      </c>
      <c r="H651" s="8" t="s">
        <v>37</v>
      </c>
      <c r="I651" s="8" t="s">
        <v>38</v>
      </c>
      <c r="J651" s="8" t="s">
        <v>64</v>
      </c>
      <c r="K651" s="8" t="n">
        <v>1</v>
      </c>
      <c r="L651" s="12" t="n">
        <v>1060.5</v>
      </c>
      <c r="M651" s="13" t="n">
        <v>0</v>
      </c>
      <c r="N651" s="12" t="n">
        <v>1060.5</v>
      </c>
      <c r="O651" s="12" t="n">
        <v>6.1</v>
      </c>
      <c r="P651" s="8" t="str">
        <f aca="false">TEXT(B651,"mmm-yyyy")</f>
        <v>Dec-2024</v>
      </c>
      <c r="Q651" s="14" t="n">
        <f aca="false">IFERROR(O651/N651,"")</f>
        <v>0.00575200377180575</v>
      </c>
      <c r="R651" s="8" t="str">
        <f aca="false">IF(OR(N651&gt;$U$3,N651&lt;$U$2),"Sales Outlier",IF(OR(O651&gt;$U$6,O651&lt;$U$4),"Profit Outlier",""))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" width="20"/>
    <col collapsed="false" customWidth="true" hidden="false" outlineLevel="0" max="8" min="2" style="6" width="15"/>
  </cols>
  <sheetData>
    <row r="1" customFormat="false" ht="19.5" hidden="false" customHeight="true" outlineLevel="0" collapsed="false">
      <c r="A1" s="9" t="s">
        <v>2315</v>
      </c>
    </row>
    <row r="3" customFormat="false" ht="15" hidden="false" customHeight="true" outlineLevel="0" collapsed="false">
      <c r="A3" s="15" t="s">
        <v>2316</v>
      </c>
    </row>
    <row r="4" customFormat="false" ht="15" hidden="false" customHeight="true" outlineLevel="0" collapsed="false">
      <c r="A4" s="7" t="s">
        <v>10</v>
      </c>
      <c r="B4" s="7" t="s">
        <v>1</v>
      </c>
      <c r="C4" s="7" t="s">
        <v>2</v>
      </c>
      <c r="D4" s="7" t="s">
        <v>2317</v>
      </c>
      <c r="E4" s="7" t="s">
        <v>2278</v>
      </c>
    </row>
    <row r="5" customFormat="false" ht="15" hidden="false" customHeight="true" outlineLevel="0" collapsed="false">
      <c r="A5" s="8" t="s">
        <v>61</v>
      </c>
      <c r="B5" s="16" t="n">
        <f aca="false">SUMIF('Cleaned Data'!$F:$F,A5,'Cleaned Data'!$N:$N)</f>
        <v>191790.13</v>
      </c>
      <c r="C5" s="16" t="n">
        <f aca="false">SUMIF('Cleaned Data'!$F:$F,A5,'Cleaned Data'!$O:$O)</f>
        <v>21881.09</v>
      </c>
      <c r="D5" s="8" t="n">
        <f aca="false">COUNTIF('Cleaned Data'!$F:$F,A5)</f>
        <v>152</v>
      </c>
      <c r="E5" s="14" t="n">
        <f aca="false">IFERROR(C5/B5,"")</f>
        <v>0.114088717704086</v>
      </c>
    </row>
    <row r="6" customFormat="false" ht="15" hidden="false" customHeight="true" outlineLevel="0" collapsed="false">
      <c r="A6" s="8" t="s">
        <v>147</v>
      </c>
      <c r="B6" s="16" t="n">
        <f aca="false">SUMIF('Cleaned Data'!$F:$F,A6,'Cleaned Data'!$N:$N)</f>
        <v>210985.61</v>
      </c>
      <c r="C6" s="16" t="n">
        <f aca="false">SUMIF('Cleaned Data'!$F:$F,A6,'Cleaned Data'!$O:$O)</f>
        <v>20728.26</v>
      </c>
      <c r="D6" s="8" t="n">
        <f aca="false">COUNTIF('Cleaned Data'!$F:$F,A6)</f>
        <v>141</v>
      </c>
      <c r="E6" s="14" t="n">
        <f aca="false">IFERROR(C6/B6,"")</f>
        <v>0.0982448992611392</v>
      </c>
    </row>
    <row r="7" customFormat="false" ht="15" hidden="false" customHeight="true" outlineLevel="0" collapsed="false">
      <c r="A7" s="8" t="s">
        <v>154</v>
      </c>
      <c r="B7" s="16" t="n">
        <f aca="false">SUMIF('Cleaned Data'!$F:$F,A7,'Cleaned Data'!$N:$N)</f>
        <v>208599.73</v>
      </c>
      <c r="C7" s="16" t="n">
        <f aca="false">SUMIF('Cleaned Data'!$F:$F,A7,'Cleaned Data'!$O:$O)</f>
        <v>24978.92</v>
      </c>
      <c r="D7" s="8" t="n">
        <f aca="false">COUNTIF('Cleaned Data'!$F:$F,A7)</f>
        <v>171</v>
      </c>
      <c r="E7" s="14" t="n">
        <f aca="false">IFERROR(C7/B7,"")</f>
        <v>0.119745696698649</v>
      </c>
    </row>
    <row r="8" customFormat="false" ht="15" hidden="false" customHeight="true" outlineLevel="0" collapsed="false">
      <c r="A8" s="8" t="s">
        <v>126</v>
      </c>
      <c r="B8" s="16" t="n">
        <f aca="false">SUMIF('Cleaned Data'!$F:$F,A8,'Cleaned Data'!$N:$N)</f>
        <v>272527.89</v>
      </c>
      <c r="C8" s="16" t="n">
        <f aca="false">SUMIF('Cleaned Data'!$F:$F,A8,'Cleaned Data'!$O:$O)</f>
        <v>34770.2</v>
      </c>
      <c r="D8" s="8" t="n">
        <f aca="false">COUNTIF('Cleaned Data'!$F:$F,A8)</f>
        <v>186</v>
      </c>
      <c r="E8" s="14" t="n">
        <f aca="false">IFERROR(C8/B8,"")</f>
        <v>0.127584006172726</v>
      </c>
    </row>
    <row r="10" customFormat="false" ht="15" hidden="false" customHeight="true" outlineLevel="0" collapsed="false">
      <c r="A10" s="15" t="s">
        <v>2318</v>
      </c>
    </row>
    <row r="11" customFormat="false" ht="15" hidden="false" customHeight="true" outlineLevel="0" collapsed="false">
      <c r="A11" s="7" t="s">
        <v>12</v>
      </c>
      <c r="B11" s="7" t="s">
        <v>1</v>
      </c>
      <c r="C11" s="7" t="s">
        <v>2</v>
      </c>
      <c r="D11" s="7" t="s">
        <v>2317</v>
      </c>
      <c r="E11" s="7" t="s">
        <v>2278</v>
      </c>
    </row>
    <row r="12" customFormat="false" ht="15" hidden="false" customHeight="true" outlineLevel="0" collapsed="false">
      <c r="A12" s="8" t="s">
        <v>77</v>
      </c>
      <c r="B12" s="16" t="n">
        <f aca="false">SUMIF('Cleaned Data'!$H:$H,A12,'Cleaned Data'!$N:$N)</f>
        <v>165724.31</v>
      </c>
      <c r="C12" s="16" t="n">
        <f aca="false">SUMIF('Cleaned Data'!$H:$H,A12,'Cleaned Data'!$O:$O)</f>
        <v>18533.6</v>
      </c>
      <c r="D12" s="8" t="n">
        <f aca="false">COUNTIF('Cleaned Data'!$H:$H,A12)</f>
        <v>128</v>
      </c>
      <c r="E12" s="14" t="n">
        <f aca="false">IFERROR(C12/B12,"")</f>
        <v>0.111833924666816</v>
      </c>
    </row>
    <row r="13" customFormat="false" ht="15" hidden="false" customHeight="true" outlineLevel="0" collapsed="false">
      <c r="A13" s="8" t="s">
        <v>132</v>
      </c>
      <c r="B13" s="16" t="n">
        <f aca="false">SUMIF('Cleaned Data'!$H:$H,A13,'Cleaned Data'!$N:$N)</f>
        <v>192296.21</v>
      </c>
      <c r="C13" s="16" t="n">
        <f aca="false">SUMIF('Cleaned Data'!$H:$H,A13,'Cleaned Data'!$O:$O)</f>
        <v>24954.71</v>
      </c>
      <c r="D13" s="8" t="n">
        <f aca="false">COUNTIF('Cleaned Data'!$H:$H,A13)</f>
        <v>138</v>
      </c>
      <c r="E13" s="14" t="n">
        <f aca="false">IFERROR(C13/B13,"")</f>
        <v>0.129772240440932</v>
      </c>
    </row>
    <row r="14" customFormat="false" ht="15" hidden="false" customHeight="true" outlineLevel="0" collapsed="false">
      <c r="A14" s="8" t="s">
        <v>114</v>
      </c>
      <c r="B14" s="16" t="n">
        <f aca="false">SUMIF('Cleaned Data'!$H:$H,A14,'Cleaned Data'!$N:$N)</f>
        <v>180630.87</v>
      </c>
      <c r="C14" s="16" t="n">
        <f aca="false">SUMIF('Cleaned Data'!$H:$H,A14,'Cleaned Data'!$O:$O)</f>
        <v>16382.72</v>
      </c>
      <c r="D14" s="8" t="n">
        <f aca="false">COUNTIF('Cleaned Data'!$H:$H,A14)</f>
        <v>130</v>
      </c>
      <c r="E14" s="14" t="n">
        <f aca="false">IFERROR(C14/B14,"")</f>
        <v>0.0906972324276576</v>
      </c>
    </row>
    <row r="15" customFormat="false" ht="15" hidden="false" customHeight="true" outlineLevel="0" collapsed="false">
      <c r="A15" s="8" t="s">
        <v>45</v>
      </c>
      <c r="B15" s="16" t="n">
        <f aca="false">SUMIF('Cleaned Data'!$H:$H,A15,'Cleaned Data'!$N:$N)</f>
        <v>190545.62</v>
      </c>
      <c r="C15" s="16" t="n">
        <f aca="false">SUMIF('Cleaned Data'!$H:$H,A15,'Cleaned Data'!$O:$O)</f>
        <v>20397.9</v>
      </c>
      <c r="D15" s="8" t="n">
        <f aca="false">COUNTIF('Cleaned Data'!$H:$H,A15)</f>
        <v>137</v>
      </c>
      <c r="E15" s="14" t="n">
        <f aca="false">IFERROR(C15/B15,"")</f>
        <v>0.107049954756242</v>
      </c>
    </row>
    <row r="16" customFormat="false" ht="15" hidden="false" customHeight="true" outlineLevel="0" collapsed="false">
      <c r="A16" s="8" t="s">
        <v>37</v>
      </c>
      <c r="B16" s="16" t="n">
        <f aca="false">SUMIF('Cleaned Data'!$H:$H,A16,'Cleaned Data'!$N:$N)</f>
        <v>154706.35</v>
      </c>
      <c r="C16" s="16" t="n">
        <f aca="false">SUMIF('Cleaned Data'!$H:$H,A16,'Cleaned Data'!$O:$O)</f>
        <v>22089.54</v>
      </c>
      <c r="D16" s="8" t="n">
        <f aca="false">COUNTIF('Cleaned Data'!$H:$H,A16)</f>
        <v>117</v>
      </c>
      <c r="E16" s="14" t="n">
        <f aca="false">IFERROR(C16/B16,"")</f>
        <v>0.142783667250892</v>
      </c>
    </row>
    <row r="18" customFormat="false" ht="15" hidden="false" customHeight="true" outlineLevel="0" collapsed="false">
      <c r="A18" s="15" t="s">
        <v>2319</v>
      </c>
    </row>
    <row r="19" customFormat="false" ht="15" hidden="false" customHeight="true" outlineLevel="0" collapsed="false">
      <c r="A19" s="7" t="s">
        <v>2320</v>
      </c>
      <c r="B19" s="7" t="s">
        <v>1</v>
      </c>
      <c r="C19" s="7" t="s">
        <v>2</v>
      </c>
    </row>
    <row r="20" customFormat="false" ht="15" hidden="false" customHeight="true" outlineLevel="0" collapsed="false">
      <c r="A20" s="8" t="s">
        <v>2321</v>
      </c>
      <c r="B20" s="16" t="n">
        <f aca="false">SUMPRODUCT((TEXT('Cleaned Data'!$B$2:$B$651,"mmm-yyyy")=A20)*'Cleaned Data'!$N$2:$N$651)</f>
        <v>40355.1</v>
      </c>
      <c r="C20" s="16" t="n">
        <f aca="false">SUMPRODUCT((TEXT('Cleaned Data'!$B$2:$B$651,"mmm-yyyy")=A20)*'Cleaned Data'!$O$2:$O$651)</f>
        <v>4499.23</v>
      </c>
    </row>
    <row r="21" customFormat="false" ht="15" hidden="false" customHeight="true" outlineLevel="0" collapsed="false">
      <c r="A21" s="8" t="s">
        <v>2322</v>
      </c>
      <c r="B21" s="16" t="n">
        <f aca="false">SUMPRODUCT((TEXT('Cleaned Data'!$B$2:$B$651,"mmm-yyyy")=A21)*'Cleaned Data'!$N$2:$N$651)</f>
        <v>40829.65</v>
      </c>
      <c r="C21" s="16" t="n">
        <f aca="false">SUMPRODUCT((TEXT('Cleaned Data'!$B$2:$B$651,"mmm-yyyy")=A21)*'Cleaned Data'!$O$2:$O$651)</f>
        <v>3631.68</v>
      </c>
    </row>
    <row r="22" customFormat="false" ht="15" hidden="false" customHeight="true" outlineLevel="0" collapsed="false">
      <c r="A22" s="8" t="s">
        <v>2323</v>
      </c>
      <c r="B22" s="16" t="n">
        <f aca="false">SUMPRODUCT((TEXT('Cleaned Data'!$B$2:$B$651,"mmm-yyyy")=A22)*'Cleaned Data'!$N$2:$N$651)</f>
        <v>44022.33</v>
      </c>
      <c r="C22" s="16" t="n">
        <f aca="false">SUMPRODUCT((TEXT('Cleaned Data'!$B$2:$B$651,"mmm-yyyy")=A22)*'Cleaned Data'!$O$2:$O$651)</f>
        <v>4611.45</v>
      </c>
    </row>
    <row r="23" customFormat="false" ht="15" hidden="false" customHeight="true" outlineLevel="0" collapsed="false">
      <c r="A23" s="8" t="s">
        <v>2324</v>
      </c>
      <c r="B23" s="16" t="n">
        <f aca="false">SUMPRODUCT((TEXT('Cleaned Data'!$B$2:$B$651,"mmm-yyyy")=A23)*'Cleaned Data'!$N$2:$N$651)</f>
        <v>23562.4</v>
      </c>
      <c r="C23" s="16" t="n">
        <f aca="false">SUMPRODUCT((TEXT('Cleaned Data'!$B$2:$B$651,"mmm-yyyy")=A23)*'Cleaned Data'!$O$2:$O$651)</f>
        <v>2145.29</v>
      </c>
    </row>
    <row r="24" customFormat="false" ht="15" hidden="false" customHeight="true" outlineLevel="0" collapsed="false">
      <c r="A24" s="8" t="s">
        <v>2325</v>
      </c>
      <c r="B24" s="16" t="n">
        <f aca="false">SUMPRODUCT((TEXT('Cleaned Data'!$B$2:$B$651,"mmm-yyyy")=A24)*'Cleaned Data'!$N$2:$N$651)</f>
        <v>37443.41</v>
      </c>
      <c r="C24" s="16" t="n">
        <f aca="false">SUMPRODUCT((TEXT('Cleaned Data'!$B$2:$B$651,"mmm-yyyy")=A24)*'Cleaned Data'!$O$2:$O$651)</f>
        <v>6442.65</v>
      </c>
    </row>
    <row r="25" customFormat="false" ht="15" hidden="false" customHeight="true" outlineLevel="0" collapsed="false">
      <c r="A25" s="8" t="s">
        <v>2326</v>
      </c>
      <c r="B25" s="16" t="n">
        <f aca="false">SUMPRODUCT((TEXT('Cleaned Data'!$B$2:$B$651,"mmm-yyyy")=A25)*'Cleaned Data'!$N$2:$N$651)</f>
        <v>16926.2</v>
      </c>
      <c r="C25" s="16" t="n">
        <f aca="false">SUMPRODUCT((TEXT('Cleaned Data'!$B$2:$B$651,"mmm-yyyy")=A25)*'Cleaned Data'!$O$2:$O$651)</f>
        <v>2271.49</v>
      </c>
    </row>
    <row r="26" customFormat="false" ht="15" hidden="false" customHeight="true" outlineLevel="0" collapsed="false">
      <c r="A26" s="8" t="s">
        <v>2327</v>
      </c>
      <c r="B26" s="16" t="n">
        <f aca="false">SUMPRODUCT((TEXT('Cleaned Data'!$B$2:$B$651,"mmm-yyyy")=A26)*'Cleaned Data'!$N$2:$N$651)</f>
        <v>36547.34</v>
      </c>
      <c r="C26" s="16" t="n">
        <f aca="false">SUMPRODUCT((TEXT('Cleaned Data'!$B$2:$B$651,"mmm-yyyy")=A26)*'Cleaned Data'!$O$2:$O$651)</f>
        <v>5187.3</v>
      </c>
    </row>
    <row r="27" customFormat="false" ht="15" hidden="false" customHeight="true" outlineLevel="0" collapsed="false">
      <c r="A27" s="8" t="s">
        <v>2328</v>
      </c>
      <c r="B27" s="16" t="n">
        <f aca="false">SUMPRODUCT((TEXT('Cleaned Data'!$B$2:$B$651,"mmm-yyyy")=A27)*'Cleaned Data'!$N$2:$N$651)</f>
        <v>25081.07</v>
      </c>
      <c r="C27" s="16" t="n">
        <f aca="false">SUMPRODUCT((TEXT('Cleaned Data'!$B$2:$B$651,"mmm-yyyy")=A27)*'Cleaned Data'!$O$2:$O$651)</f>
        <v>4617.07</v>
      </c>
    </row>
    <row r="28" customFormat="false" ht="15" hidden="false" customHeight="true" outlineLevel="0" collapsed="false">
      <c r="A28" s="8" t="s">
        <v>2329</v>
      </c>
      <c r="B28" s="16" t="n">
        <f aca="false">SUMPRODUCT((TEXT('Cleaned Data'!$B$2:$B$651,"mmm-yyyy")=A28)*'Cleaned Data'!$N$2:$N$651)</f>
        <v>20160.77</v>
      </c>
      <c r="C28" s="16" t="n">
        <f aca="false">SUMPRODUCT((TEXT('Cleaned Data'!$B$2:$B$651,"mmm-yyyy")=A28)*'Cleaned Data'!$O$2:$O$651)</f>
        <v>1348.32</v>
      </c>
    </row>
    <row r="29" customFormat="false" ht="15" hidden="false" customHeight="true" outlineLevel="0" collapsed="false">
      <c r="A29" s="8" t="s">
        <v>2330</v>
      </c>
      <c r="B29" s="16" t="n">
        <f aca="false">SUMPRODUCT((TEXT('Cleaned Data'!$B$2:$B$651,"mmm-yyyy")=A29)*'Cleaned Data'!$N$2:$N$651)</f>
        <v>47901.16</v>
      </c>
      <c r="C29" s="16" t="n">
        <f aca="false">SUMPRODUCT((TEXT('Cleaned Data'!$B$2:$B$651,"mmm-yyyy")=A29)*'Cleaned Data'!$O$2:$O$651)</f>
        <v>5608.51</v>
      </c>
    </row>
    <row r="30" customFormat="false" ht="15" hidden="false" customHeight="true" outlineLevel="0" collapsed="false">
      <c r="A30" s="8" t="s">
        <v>2331</v>
      </c>
      <c r="B30" s="16" t="n">
        <f aca="false">SUMPRODUCT((TEXT('Cleaned Data'!$B$2:$B$651,"mmm-yyyy")=A30)*'Cleaned Data'!$N$2:$N$651)</f>
        <v>40426.29</v>
      </c>
      <c r="C30" s="16" t="n">
        <f aca="false">SUMPRODUCT((TEXT('Cleaned Data'!$B$2:$B$651,"mmm-yyyy")=A30)*'Cleaned Data'!$O$2:$O$651)</f>
        <v>4154.44</v>
      </c>
    </row>
    <row r="31" customFormat="false" ht="15" hidden="false" customHeight="true" outlineLevel="0" collapsed="false">
      <c r="A31" s="8" t="s">
        <v>2332</v>
      </c>
      <c r="B31" s="16" t="n">
        <f aca="false">SUMPRODUCT((TEXT('Cleaned Data'!$B$2:$B$651,"mmm-yyyy")=A31)*'Cleaned Data'!$N$2:$N$651)</f>
        <v>29631.8</v>
      </c>
      <c r="C31" s="16" t="n">
        <f aca="false">SUMPRODUCT((TEXT('Cleaned Data'!$B$2:$B$651,"mmm-yyyy")=A31)*'Cleaned Data'!$O$2:$O$651)</f>
        <v>4049.22</v>
      </c>
    </row>
    <row r="32" customFormat="false" ht="15" hidden="false" customHeight="true" outlineLevel="0" collapsed="false">
      <c r="A32" s="8" t="s">
        <v>2333</v>
      </c>
      <c r="B32" s="16" t="n">
        <f aca="false">SUMPRODUCT((TEXT('Cleaned Data'!$B$2:$B$651,"mmm-yyyy")=A32)*'Cleaned Data'!$N$2:$N$651)</f>
        <v>34950.82</v>
      </c>
      <c r="C32" s="16" t="n">
        <f aca="false">SUMPRODUCT((TEXT('Cleaned Data'!$B$2:$B$651,"mmm-yyyy")=A32)*'Cleaned Data'!$O$2:$O$651)</f>
        <v>3395.06</v>
      </c>
    </row>
    <row r="33" customFormat="false" ht="15" hidden="false" customHeight="true" outlineLevel="0" collapsed="false">
      <c r="A33" s="8" t="s">
        <v>2334</v>
      </c>
      <c r="B33" s="16" t="n">
        <f aca="false">SUMPRODUCT((TEXT('Cleaned Data'!$B$2:$B$651,"mmm-yyyy")=A33)*'Cleaned Data'!$N$2:$N$651)</f>
        <v>27869.36</v>
      </c>
      <c r="C33" s="16" t="n">
        <f aca="false">SUMPRODUCT((TEXT('Cleaned Data'!$B$2:$B$651,"mmm-yyyy")=A33)*'Cleaned Data'!$O$2:$O$651)</f>
        <v>4576.89</v>
      </c>
    </row>
    <row r="34" customFormat="false" ht="15" hidden="false" customHeight="true" outlineLevel="0" collapsed="false">
      <c r="A34" s="8" t="s">
        <v>2335</v>
      </c>
      <c r="B34" s="16" t="n">
        <f aca="false">SUMPRODUCT((TEXT('Cleaned Data'!$B$2:$B$651,"mmm-yyyy")=A34)*'Cleaned Data'!$N$2:$N$651)</f>
        <v>40907.56</v>
      </c>
      <c r="C34" s="16" t="n">
        <f aca="false">SUMPRODUCT((TEXT('Cleaned Data'!$B$2:$B$651,"mmm-yyyy")=A34)*'Cleaned Data'!$O$2:$O$651)</f>
        <v>3945.87</v>
      </c>
    </row>
    <row r="35" customFormat="false" ht="15" hidden="false" customHeight="true" outlineLevel="0" collapsed="false">
      <c r="A35" s="8" t="s">
        <v>2336</v>
      </c>
      <c r="B35" s="16" t="n">
        <f aca="false">SUMPRODUCT((TEXT('Cleaned Data'!$B$2:$B$651,"mmm-yyyy")=A35)*'Cleaned Data'!$N$2:$N$651)</f>
        <v>36612.61</v>
      </c>
      <c r="C35" s="16" t="n">
        <f aca="false">SUMPRODUCT((TEXT('Cleaned Data'!$B$2:$B$651,"mmm-yyyy")=A35)*'Cleaned Data'!$O$2:$O$651)</f>
        <v>3415.8</v>
      </c>
    </row>
    <row r="36" customFormat="false" ht="15" hidden="false" customHeight="true" outlineLevel="0" collapsed="false">
      <c r="A36" s="8" t="s">
        <v>2337</v>
      </c>
      <c r="B36" s="16" t="n">
        <f aca="false">SUMPRODUCT((TEXT('Cleaned Data'!$B$2:$B$651,"mmm-yyyy")=A36)*'Cleaned Data'!$N$2:$N$651)</f>
        <v>51176.85</v>
      </c>
      <c r="C36" s="16" t="n">
        <f aca="false">SUMPRODUCT((TEXT('Cleaned Data'!$B$2:$B$651,"mmm-yyyy")=A36)*'Cleaned Data'!$O$2:$O$651)</f>
        <v>6250.18</v>
      </c>
    </row>
    <row r="37" customFormat="false" ht="15" hidden="false" customHeight="true" outlineLevel="0" collapsed="false">
      <c r="A37" s="8" t="s">
        <v>2338</v>
      </c>
      <c r="B37" s="16" t="n">
        <f aca="false">SUMPRODUCT((TEXT('Cleaned Data'!$B$2:$B$651,"mmm-yyyy")=A37)*'Cleaned Data'!$N$2:$N$651)</f>
        <v>43172.38</v>
      </c>
      <c r="C37" s="16" t="n">
        <f aca="false">SUMPRODUCT((TEXT('Cleaned Data'!$B$2:$B$651,"mmm-yyyy")=A37)*'Cleaned Data'!$O$2:$O$651)</f>
        <v>6561.29</v>
      </c>
    </row>
    <row r="38" customFormat="false" ht="15" hidden="false" customHeight="true" outlineLevel="0" collapsed="false">
      <c r="A38" s="8" t="s">
        <v>2339</v>
      </c>
      <c r="B38" s="16" t="n">
        <f aca="false">SUMPRODUCT((TEXT('Cleaned Data'!$B$2:$B$651,"mmm-yyyy")=A38)*'Cleaned Data'!$N$2:$N$651)</f>
        <v>43279</v>
      </c>
      <c r="C38" s="16" t="n">
        <f aca="false">SUMPRODUCT((TEXT('Cleaned Data'!$B$2:$B$651,"mmm-yyyy")=A38)*'Cleaned Data'!$O$2:$O$651)</f>
        <v>5053.49</v>
      </c>
    </row>
    <row r="39" customFormat="false" ht="15" hidden="false" customHeight="true" outlineLevel="0" collapsed="false">
      <c r="A39" s="8" t="s">
        <v>2340</v>
      </c>
      <c r="B39" s="16" t="n">
        <f aca="false">SUMPRODUCT((TEXT('Cleaned Data'!$B$2:$B$651,"mmm-yyyy")=A39)*'Cleaned Data'!$N$2:$N$651)</f>
        <v>49995.22</v>
      </c>
      <c r="C39" s="16" t="n">
        <f aca="false">SUMPRODUCT((TEXT('Cleaned Data'!$B$2:$B$651,"mmm-yyyy")=A39)*'Cleaned Data'!$O$2:$O$651)</f>
        <v>4687.06</v>
      </c>
    </row>
    <row r="40" customFormat="false" ht="15" hidden="false" customHeight="true" outlineLevel="0" collapsed="false">
      <c r="A40" s="8" t="s">
        <v>2341</v>
      </c>
      <c r="B40" s="16" t="n">
        <f aca="false">SUMPRODUCT((TEXT('Cleaned Data'!$B$2:$B$651,"mmm-yyyy")=A40)*'Cleaned Data'!$N$2:$N$651)</f>
        <v>37718.16</v>
      </c>
      <c r="C40" s="16" t="n">
        <f aca="false">SUMPRODUCT((TEXT('Cleaned Data'!$B$2:$B$651,"mmm-yyyy")=A40)*'Cleaned Data'!$O$2:$O$651)</f>
        <v>1366.06</v>
      </c>
    </row>
    <row r="41" customFormat="false" ht="15" hidden="false" customHeight="true" outlineLevel="0" collapsed="false">
      <c r="A41" s="8" t="s">
        <v>2342</v>
      </c>
      <c r="B41" s="16" t="n">
        <f aca="false">SUMPRODUCT((TEXT('Cleaned Data'!$B$2:$B$651,"mmm-yyyy")=A41)*'Cleaned Data'!$N$2:$N$651)</f>
        <v>33416.02</v>
      </c>
      <c r="C41" s="16" t="n">
        <f aca="false">SUMPRODUCT((TEXT('Cleaned Data'!$B$2:$B$651,"mmm-yyyy")=A41)*'Cleaned Data'!$O$2:$O$651)</f>
        <v>4727.16</v>
      </c>
    </row>
    <row r="42" customFormat="false" ht="15" hidden="false" customHeight="true" outlineLevel="0" collapsed="false">
      <c r="A42" s="8" t="s">
        <v>2343</v>
      </c>
      <c r="B42" s="16" t="n">
        <f aca="false">SUMPRODUCT((TEXT('Cleaned Data'!$B$2:$B$651,"mmm-yyyy")=A42)*'Cleaned Data'!$N$2:$N$651)</f>
        <v>34244.61</v>
      </c>
      <c r="C42" s="16" t="n">
        <f aca="false">SUMPRODUCT((TEXT('Cleaned Data'!$B$2:$B$651,"mmm-yyyy")=A42)*'Cleaned Data'!$O$2:$O$651)</f>
        <v>3933.11</v>
      </c>
    </row>
    <row r="43" customFormat="false" ht="15" hidden="false" customHeight="true" outlineLevel="0" collapsed="false">
      <c r="A43" s="8" t="s">
        <v>2344</v>
      </c>
      <c r="B43" s="16" t="n">
        <f aca="false">SUMPRODUCT((TEXT('Cleaned Data'!$B$2:$B$651,"mmm-yyyy")=A43)*'Cleaned Data'!$N$2:$N$651)</f>
        <v>47673.25</v>
      </c>
      <c r="C43" s="16" t="n">
        <f aca="false">SUMPRODUCT((TEXT('Cleaned Data'!$B$2:$B$651,"mmm-yyyy")=A43)*'Cleaned Data'!$O$2:$O$651)</f>
        <v>5879.85</v>
      </c>
    </row>
    <row r="45" customFormat="false" ht="15" hidden="false" customHeight="true" outlineLevel="0" collapsed="false">
      <c r="A45" s="15" t="s">
        <v>2345</v>
      </c>
    </row>
    <row r="46" customFormat="false" ht="15" hidden="false" customHeight="true" outlineLevel="0" collapsed="false">
      <c r="A46" s="7" t="s">
        <v>9</v>
      </c>
      <c r="B46" s="7" t="s">
        <v>1</v>
      </c>
      <c r="C46" s="7" t="s">
        <v>2346</v>
      </c>
    </row>
    <row r="47" customFormat="false" ht="15" hidden="false" customHeight="true" outlineLevel="0" collapsed="false">
      <c r="A47" s="8" t="s">
        <v>34</v>
      </c>
      <c r="B47" s="16" t="n">
        <f aca="false">SUMIF('Cleaned Data'!$E:$E,A47,'Cleaned Data'!$N:$N)</f>
        <v>229370.52</v>
      </c>
      <c r="C47" s="14" t="n">
        <f aca="false">IFERROR(B47/$B$51,"")</f>
        <v>0.259497282598858</v>
      </c>
    </row>
    <row r="48" customFormat="false" ht="15" hidden="false" customHeight="true" outlineLevel="0" collapsed="false">
      <c r="A48" s="8" t="s">
        <v>24</v>
      </c>
      <c r="B48" s="16" t="n">
        <f aca="false">SUMIF('Cleaned Data'!$E:$E,A48,'Cleaned Data'!$N:$N)</f>
        <v>226808.75</v>
      </c>
      <c r="C48" s="14" t="n">
        <f aca="false">IFERROR(B48/$B$51,"")</f>
        <v>0.256599035894603</v>
      </c>
    </row>
    <row r="49" customFormat="false" ht="15" hidden="false" customHeight="true" outlineLevel="0" collapsed="false">
      <c r="A49" s="8" t="s">
        <v>52</v>
      </c>
      <c r="B49" s="16" t="n">
        <f aca="false">SUMIF('Cleaned Data'!$E:$E,A49,'Cleaned Data'!$N:$N)</f>
        <v>213297.21</v>
      </c>
      <c r="C49" s="14" t="n">
        <f aca="false">IFERROR(B49/$B$51,"")</f>
        <v>0.241312817274504</v>
      </c>
    </row>
    <row r="50" customFormat="false" ht="15" hidden="false" customHeight="true" outlineLevel="0" collapsed="false">
      <c r="A50" s="8" t="s">
        <v>2285</v>
      </c>
      <c r="B50" s="16" t="n">
        <f aca="false">SUMIF('Cleaned Data'!$E:$E,A50,'Cleaned Data'!$N:$N)</f>
        <v>214426.88</v>
      </c>
      <c r="C50" s="14" t="n">
        <f aca="false">IFERROR(B50/$B$51,"")</f>
        <v>0.242590864232036</v>
      </c>
    </row>
    <row r="51" customFormat="false" ht="15" hidden="false" customHeight="true" outlineLevel="0" collapsed="false">
      <c r="A51" s="10" t="s">
        <v>2347</v>
      </c>
      <c r="B51" s="17" t="n">
        <f aca="false">SUM(B47:B50)</f>
        <v>883903.36</v>
      </c>
    </row>
    <row r="53" customFormat="false" ht="15" hidden="false" customHeight="true" outlineLevel="0" collapsed="false">
      <c r="A53" s="15" t="s">
        <v>2348</v>
      </c>
    </row>
    <row r="54" customFormat="false" ht="15" hidden="false" customHeight="true" outlineLevel="0" collapsed="false">
      <c r="A54" s="7" t="s">
        <v>8</v>
      </c>
      <c r="B54" s="7" t="s">
        <v>1</v>
      </c>
    </row>
    <row r="55" customFormat="false" ht="15" hidden="false" customHeight="true" outlineLevel="0" collapsed="false">
      <c r="A55" s="8" t="s">
        <v>1700</v>
      </c>
      <c r="B55" s="16" t="n">
        <f aca="false">SUMIF('Cleaned Data'!$D:$D,A55,'Cleaned Data'!$N:$N)</f>
        <v>9408.73</v>
      </c>
    </row>
    <row r="56" customFormat="false" ht="15" hidden="false" customHeight="true" outlineLevel="0" collapsed="false">
      <c r="A56" s="8" t="s">
        <v>868</v>
      </c>
      <c r="B56" s="16" t="n">
        <f aca="false">SUMIF('Cleaned Data'!$D:$D,A56,'Cleaned Data'!$N:$N)</f>
        <v>9335.2</v>
      </c>
    </row>
    <row r="57" customFormat="false" ht="15" hidden="false" customHeight="true" outlineLevel="0" collapsed="false">
      <c r="A57" s="8" t="s">
        <v>546</v>
      </c>
      <c r="B57" s="16" t="n">
        <f aca="false">SUMIF('Cleaned Data'!$D:$D,A57,'Cleaned Data'!$N:$N)</f>
        <v>8840.77</v>
      </c>
    </row>
    <row r="58" customFormat="false" ht="15" hidden="false" customHeight="true" outlineLevel="0" collapsed="false">
      <c r="A58" s="8" t="s">
        <v>723</v>
      </c>
      <c r="B58" s="16" t="n">
        <f aca="false">SUMIF('Cleaned Data'!$D:$D,A58,'Cleaned Data'!$N:$N)</f>
        <v>8679.18</v>
      </c>
    </row>
    <row r="59" customFormat="false" ht="15" hidden="false" customHeight="true" outlineLevel="0" collapsed="false">
      <c r="A59" s="8" t="s">
        <v>317</v>
      </c>
      <c r="B59" s="16" t="n">
        <f aca="false">SUMIF('Cleaned Data'!$D:$D,A59,'Cleaned Data'!$N:$N)</f>
        <v>8392.22</v>
      </c>
    </row>
    <row r="60" customFormat="false" ht="15" hidden="false" customHeight="true" outlineLevel="0" collapsed="false">
      <c r="A60" s="8" t="s">
        <v>806</v>
      </c>
      <c r="B60" s="16" t="n">
        <f aca="false">SUMIF('Cleaned Data'!$D:$D,A60,'Cleaned Data'!$N:$N)</f>
        <v>8343.56</v>
      </c>
    </row>
    <row r="61" customFormat="false" ht="15" hidden="false" customHeight="true" outlineLevel="0" collapsed="false">
      <c r="A61" s="8" t="s">
        <v>681</v>
      </c>
      <c r="B61" s="16" t="n">
        <f aca="false">SUMIF('Cleaned Data'!$D:$D,A61,'Cleaned Data'!$N:$N)</f>
        <v>7921.94</v>
      </c>
    </row>
    <row r="62" customFormat="false" ht="15" hidden="false" customHeight="true" outlineLevel="0" collapsed="false">
      <c r="A62" s="8" t="s">
        <v>113</v>
      </c>
      <c r="B62" s="16" t="n">
        <f aca="false">SUMIF('Cleaned Data'!$D:$D,A62,'Cleaned Data'!$N:$N)</f>
        <v>7769.61</v>
      </c>
    </row>
    <row r="63" customFormat="false" ht="15" hidden="false" customHeight="true" outlineLevel="0" collapsed="false">
      <c r="A63" s="8" t="s">
        <v>1389</v>
      </c>
      <c r="B63" s="16" t="n">
        <f aca="false">SUMIF('Cleaned Data'!$D:$D,A63,'Cleaned Data'!$N:$N)</f>
        <v>7699.53</v>
      </c>
    </row>
    <row r="64" customFormat="false" ht="15" hidden="false" customHeight="true" outlineLevel="0" collapsed="false">
      <c r="A64" s="8" t="s">
        <v>1035</v>
      </c>
      <c r="B64" s="16" t="n">
        <f aca="false">SUMIF('Cleaned Data'!$D:$D,A64,'Cleaned Data'!$N:$N)</f>
        <v>7665.85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2026-09-20T14:21:02Z</dcterms:created>
  <dc:creator>openpyxl</dc:creator>
  <dc:description/>
  <dc:language>en-US</dc:language>
  <cp:lastModifiedBy/>
  <dcterms:modified xsi:type="dcterms:W3CDTF">2026-09-20T14:21:46Z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